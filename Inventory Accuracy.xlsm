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Buku_Kerja_Ini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VBA\DFIS\Portofolio\Stock Take_14 Januari 2022\Stock Take\"/>
    </mc:Choice>
  </mc:AlternateContent>
  <xr:revisionPtr revIDLastSave="0" documentId="13_ncr:1_{19426876-FBF0-4503-91A7-58F3471C367A}" xr6:coauthVersionLast="47" xr6:coauthVersionMax="47" xr10:uidLastSave="{00000000-0000-0000-0000-000000000000}"/>
  <workbookProtection workbookAlgorithmName="SHA-512" workbookHashValue="aerW6UF+qyLksplwq8OvR1uMemoOVtrZZSvXCN6U9R8sT0DiFDFY42JhiZNgMIxqxXbucpnmHs5AtD93Mr0t9g==" workbookSaltValue="xQZIb0CGr9Ut+IqjIHoeKg==" workbookSpinCount="100000" lockStructure="1"/>
  <bookViews>
    <workbookView xWindow="-120" yWindow="-120" windowWidth="29040" windowHeight="16440" activeTab="5" xr2:uid="{00000000-000D-0000-FFFF-FFFF00000000}"/>
  </bookViews>
  <sheets>
    <sheet name="MB51" sheetId="24" r:id="rId1"/>
    <sheet name="PID" sheetId="19" r:id="rId2"/>
    <sheet name="Calculate" sheetId="26" state="hidden" r:id="rId3"/>
    <sheet name="Data Per Plant" sheetId="2" r:id="rId4"/>
    <sheet name="Data Per Regional" sheetId="22" r:id="rId5"/>
    <sheet name="Data Per Nasional" sheetId="23" r:id="rId6"/>
    <sheet name="Master Brand" sheetId="21" state="hidden" r:id="rId7"/>
    <sheet name="Master Location" sheetId="25" state="hidden" r:id="rId8"/>
    <sheet name="Master MB51" sheetId="20" state="hidden" r:id="rId9"/>
    <sheet name="Update Master Warehouse" sheetId="11" state="hidden" r:id="rId10"/>
    <sheet name="MasterWarehouse" sheetId="3" state="hidden" r:id="rId11"/>
  </sheets>
  <externalReferences>
    <externalReference r:id="rId12"/>
    <externalReference r:id="rId13"/>
    <externalReference r:id="rId14"/>
    <externalReference r:id="rId15"/>
  </externalReferences>
  <definedNames>
    <definedName name="_Fill" hidden="1">#REF!</definedName>
    <definedName name="_xlnm._FilterDatabase" localSheetId="2" hidden="1">Calculate!$C$6:$K$6</definedName>
    <definedName name="_xlnm._FilterDatabase" localSheetId="5" hidden="1">'Data Per Nasional'!$C$6:$R$6</definedName>
    <definedName name="_xlnm._FilterDatabase" localSheetId="3" hidden="1">'Data Per Plant'!$C$6:$U$31</definedName>
    <definedName name="_xlnm._FilterDatabase" localSheetId="4" hidden="1">'Data Per Regional'!$C$6:$R$30</definedName>
    <definedName name="_xlnm._FilterDatabase" localSheetId="6" hidden="1">'Master Brand'!$C$27:$F$55</definedName>
    <definedName name="_xlnm._FilterDatabase" localSheetId="1" hidden="1">PID!$C$6:$K$6</definedName>
    <definedName name="_xlcn.WorksheetConnection_TemperatureHumidity_11102021.xlsmTabel14" hidden="1">Tabel14</definedName>
    <definedName name="_xlcn.WorksheetConnection_TemperatureHumidity_11102021.xlsmTabel3" hidden="1">Tabel3[]</definedName>
    <definedName name="_xlcn.WorksheetConnection_TemperatureHumidity_11102021.xlsmTabel3_116" hidden="1">Tabel3_116[]</definedName>
    <definedName name="_xlcn.WorksheetConnection_TemperatureHumidity_11102021.xlsmTabel5" hidden="1">Tabel5</definedName>
    <definedName name="_xlcn.WorksheetConnection_TemperatureHumidity_11102021.xlsmTabel5_18" hidden="1">Tabel5_18</definedName>
    <definedName name="angka">[1]Test3!$E$19</definedName>
    <definedName name="Audit">[2]Sheet1!$B$2:$B$14</definedName>
    <definedName name="ID_Device" localSheetId="7">#REF!</definedName>
    <definedName name="ID_Device" localSheetId="0">#REF!</definedName>
    <definedName name="ID_Device">#REF!</definedName>
    <definedName name="ID_Location" localSheetId="7">#REF!</definedName>
    <definedName name="ID_Location" localSheetId="0">#REF!</definedName>
    <definedName name="ID_Location">#REF!</definedName>
    <definedName name="ISI" hidden="1">#REF!</definedName>
    <definedName name="juta">[1]data!$G$2</definedName>
    <definedName name="MasterDeviceName" localSheetId="7">'[3]Master Device Name'!$B:$B,'[3]Master Device Name'!$C$1,'[3]Master Device Name'!$C:$C,'[3]Master Device Name'!$D:$D</definedName>
    <definedName name="MasterDeviceName" localSheetId="0">'[4]Master Device Name'!$B:$B,'[4]Master Device Name'!$C$1,'[4]Master Device Name'!$C:$C,'[4]Master Device Name'!$D:$D</definedName>
    <definedName name="MasterDeviceName">#REF!,#REF!,#REF!,#REF!</definedName>
    <definedName name="MasterWarehouse" localSheetId="7">[3]MasterWarehouse!$B:$B,[3]MasterWarehouse!$C:$C</definedName>
    <definedName name="MasterWarehouse" localSheetId="0">[4]MasterWarehouse!$B:$B,[4]MasterWarehouse!$C:$C</definedName>
    <definedName name="MasterWarehouse">MasterWarehouse!$B:$B,MasterWarehouse!$C:$C</definedName>
    <definedName name="miliar">[1]data!$F$2</definedName>
    <definedName name="Name_Device" localSheetId="7">#REF!</definedName>
    <definedName name="Name_Device" localSheetId="0">#REF!</definedName>
    <definedName name="Name_Device">#REF!</definedName>
    <definedName name="Name_Location" localSheetId="7">#REF!</definedName>
    <definedName name="Name_Location" localSheetId="0">#REF!</definedName>
    <definedName name="Name_Location">#REF!</definedName>
    <definedName name="No">1</definedName>
    <definedName name="Print_Area_MI">#REF!</definedName>
    <definedName name="ribu">[1]data!$H$2</definedName>
    <definedName name="s">#REF!</definedName>
    <definedName name="Tabel3_1" localSheetId="9" hidden="1">'Update Master Warehouse'!$B$4:$D$123</definedName>
    <definedName name="TEST0">#REF!</definedName>
    <definedName name="TESTHKEY">#REF!</definedName>
    <definedName name="TESTKEYS">#REF!</definedName>
    <definedName name="TESTVKEY">#REF!</definedName>
    <definedName name="UpdateMasterDevice" localSheetId="7">'[3]Update Master Device'!$B$3:$F$27,'[3]Update Master Device'!$B:$B,'[3]Update Master Device'!$C:$C,'[3]Update Master Device'!$D:$D,'[3]Update Master Device'!$E:$E,'[3]Update Master Device'!$F:$F</definedName>
    <definedName name="UpdateMasterDevice" localSheetId="0">'[4]Update Master Device'!$B$3:$F$27,'[4]Update Master Device'!$B:$B,'[4]Update Master Device'!$C:$C,'[4]Update Master Device'!$D:$D,'[4]Update Master Device'!$E:$E,'[4]Update Master Device'!$F:$F</definedName>
    <definedName name="UpdateMasterDevice">#REF!,#REF!,#REF!,#REF!,#REF!,#REF!</definedName>
    <definedName name="UpdateMasterWarehouse" localSheetId="7">'[3]Update Master Warehouse'!$B:$B,'[3]Update Master Warehouse'!$C:$C,'[3]Update Master Warehouse'!$D:$D,'[3]Update Master Warehouse'!$G$9</definedName>
    <definedName name="UpdateMasterWarehouse" localSheetId="0">'[4]Update Master Warehouse'!$B:$B,'[4]Update Master Warehouse'!$C:$C,'[4]Update Master Warehouse'!$D:$D,'[4]Update Master Warehouse'!$G$9</definedName>
    <definedName name="UpdateMasterWarehouse">'Update Master Warehouse'!$B:$B,'Update Master Warehouse'!$C:$C,'Update Master Warehouse'!$D:$D,'Update Master Warehouse'!$G$9</definedName>
    <definedName name="Warehouse" localSheetId="2">#REF!</definedName>
    <definedName name="Warehouse" localSheetId="7">#REF!</definedName>
    <definedName name="Warehouse" localSheetId="0">[4]!Tabel4[Warehouse]</definedName>
    <definedName name="Warehouse" localSheetId="1">#REF!</definedName>
    <definedName name="Warehouse">#REF!</definedName>
    <definedName name="ZD0A_ADW_Makassar">#REF!</definedName>
    <definedName name="ZD0B_ADW_Pare_Pare">#REF!</definedName>
    <definedName name="ZD0C_DPC_Palopo">#REF!</definedName>
    <definedName name="ZD0D_ADW_Manado">#REF!</definedName>
    <definedName name="ZD0E_ADW_Ambon">#REF!</definedName>
    <definedName name="ZD0F_ADW_Palu">#REF!</definedName>
    <definedName name="ZD0G_ADW_Gorontalo">#REF!</definedName>
    <definedName name="ZD0H_ADW_Ternate">#REF!</definedName>
    <definedName name="ZD0I_ADW_Papua">#REF!</definedName>
    <definedName name="ZD0J_DPC_Bone">#REF!</definedName>
    <definedName name="ZD0K_ADW_Kendari">#REF!</definedName>
    <definedName name="ZD0M_ADW_Sorong">#REF!</definedName>
    <definedName name="ZD1A_ADW_Medan_2">#REF!</definedName>
    <definedName name="ZD1B_ADW_Tanah_Karo">#REF!</definedName>
    <definedName name="ZD1C_DPC_Langkat">#REF!</definedName>
    <definedName name="ZD1D_ADW_Pematang_Siantar">#REF!</definedName>
    <definedName name="ZD1E_DPC_Rantau_Prapat">#REF!</definedName>
    <definedName name="ZD1F_ADW_Banda_Aceh">#REF!</definedName>
    <definedName name="ZD1G_DPC_Meulaboh">#REF!</definedName>
    <definedName name="ZD1H_ADW_Lhokseumawe">#REF!</definedName>
    <definedName name="ZD1I_DPC_Langsa">#REF!</definedName>
    <definedName name="ZD1J_ADW_Padang_Sidempuan">#REF!</definedName>
    <definedName name="ZD1K_DPC_Sibolga">#REF!</definedName>
    <definedName name="ZD1L_Depo_Medan">#REF!</definedName>
    <definedName name="ZD1M_ADW_Kisaran">#REF!</definedName>
    <definedName name="ZD1N_ADW_Medan_1">#REF!</definedName>
    <definedName name="ZD2A_ADW_Padang">#REF!</definedName>
    <definedName name="ZD2B_DPC_Solok">#REF!</definedName>
    <definedName name="ZD2C_ADW_Bukit_Tinggi">#REF!</definedName>
    <definedName name="ZD2D_ADW_Pekanbaru">#REF!</definedName>
    <definedName name="ZD2E_ADW_Duri">#REF!</definedName>
    <definedName name="ZD2F_ADW_Air_Molek">#REF!</definedName>
    <definedName name="ZD2G_ADW_Batam">#REF!</definedName>
    <definedName name="ZD2H_DPC_Tanjung_Pinang">#REF!</definedName>
    <definedName name="ZD2I_DPC_Tanjung_Balai_Karimun">#REF!</definedName>
    <definedName name="ZD3B_ADW_Lampung">#REF!</definedName>
    <definedName name="ZD3C_ADW_Kota_Bumi">#REF!</definedName>
    <definedName name="ZD3D_ADW_Palembang">#REF!</definedName>
    <definedName name="ZD3E_ADW_Lahat">#REF!</definedName>
    <definedName name="ZD3F_DPC_Batu_Raja">#REF!</definedName>
    <definedName name="ZD3G_ADW_Jambi">#REF!</definedName>
    <definedName name="ZD3H_ADW_Muara_Bungo">#REF!</definedName>
    <definedName name="ZD3I_ADW_Bengkulu">#REF!</definedName>
    <definedName name="ZD3J_ADW_Pangkal_Pinang">#REF!</definedName>
    <definedName name="ZD3K_DPC_Lubuk_Linggau">#REF!</definedName>
    <definedName name="ZD3L_ADW_Metro">#REF!</definedName>
    <definedName name="ZD3M_DPC_Pringsewu">#REF!</definedName>
    <definedName name="ZD3N_DPC_Kalianda">#REF!</definedName>
    <definedName name="ZD3O_DPC_Tuba">#REF!</definedName>
    <definedName name="ZD3Q_ADW_Palembang_2">#REF!</definedName>
    <definedName name="ZD4A_DC_Karawang_Lot_17">#REF!</definedName>
    <definedName name="ZD4B_DC_Karawang_Lot_41">#REF!</definedName>
    <definedName name="ZD4C_DPC_Jakarta_Utara_T">#REF!</definedName>
    <definedName name="ZD4D_ADW_Jakarta_Barat">#REF!</definedName>
    <definedName name="ZD4E_ADW_Tangerang">#REF!</definedName>
    <definedName name="ZD4F_DPC_Jakarta_Timur">#REF!</definedName>
    <definedName name="ZD4G_ADW_Bogor">#REF!</definedName>
    <definedName name="ZD4H_ADW_Jakarta_Timur_A">#REF!</definedName>
    <definedName name="ZD4I_ADW_Karawang">#REF!</definedName>
    <definedName name="ZD4J_ADW_Serang">#REF!</definedName>
    <definedName name="ZD4K_ADW_Jakarta_Pusat">#REF!</definedName>
    <definedName name="ZD4L_DPC_Jakarta_Pusat_A">#REF!</definedName>
    <definedName name="ZD4M_ADW_Jakarta_Selatan">#REF!</definedName>
    <definedName name="ZD4N_ADW_Depok">#REF!</definedName>
    <definedName name="ZD4O_ADW_Bekasi">#REF!</definedName>
    <definedName name="ZD4P_DPC_Bogor">#REF!</definedName>
    <definedName name="ZD4Q_DPC_Tangerang_A">#REF!</definedName>
    <definedName name="ZD4R_ADW_Labuan">#REF!</definedName>
    <definedName name="ZD4S_DPC_Pondok_Pinang">#REF!</definedName>
    <definedName name="ZD4T_ADW_Jakarta_Utara">#REF!</definedName>
    <definedName name="ZD5A_ADW_Bandung">#REF!</definedName>
    <definedName name="ZD5B_ADW_Bandung_3">#REF!</definedName>
    <definedName name="ZD5C_ADW_Sukabumi">#REF!</definedName>
    <definedName name="ZD5D_ADW_Tasikmalaya">#REF!</definedName>
    <definedName name="ZD5E_ADW_Garut">#REF!</definedName>
    <definedName name="ZD5F_ADW_Cirebon">#REF!</definedName>
    <definedName name="ZD5G_DPC_Indramayu">#REF!</definedName>
    <definedName name="ZD5H_ADW_Purwokerto">#REF!</definedName>
    <definedName name="ZD5I_Dunex_Yos_Sudarso">#REF!</definedName>
    <definedName name="ZD5J_Kiat_Ananda_NaragongBekasi">#REF!</definedName>
    <definedName name="ZD5K_DPC_Cianjur">#REF!</definedName>
    <definedName name="ZD5M_DPC_Sumedang">#REF!</definedName>
    <definedName name="ZD6B_ADW_Semarang">#REF!</definedName>
    <definedName name="ZD6C_ADW_Tegal">#REF!</definedName>
    <definedName name="ZD6D_DPC_Pekalongan">#REF!</definedName>
    <definedName name="ZD6E_ADW_Pati">#REF!</definedName>
    <definedName name="ZD6F_ADW_Yogyakarta">#REF!</definedName>
    <definedName name="ZD6G_ADW_Magelang">#REF!</definedName>
    <definedName name="ZD6H_ADW_Surakarta">#REF!</definedName>
    <definedName name="ZD6I_ADW_Madiun">#REF!</definedName>
    <definedName name="ZD6J_ADW_Salatiga">#REF!</definedName>
    <definedName name="ZD6K_DPC_Cilacap">#REF!</definedName>
    <definedName name="ZD7B_ADW_Surabaya">#REF!</definedName>
    <definedName name="ZD7C_ADW_Tuban">#REF!</definedName>
    <definedName name="ZD7D_ADW_Malang">#REF!</definedName>
    <definedName name="ZD7E_ADW_Kediri">#REF!</definedName>
    <definedName name="ZD7F_ADW_Pamekasan">#REF!</definedName>
    <definedName name="ZD7G_ADW_Jember">#REF!</definedName>
    <definedName name="ZD7H_DPC_Banyuwangi">#REF!</definedName>
    <definedName name="ZD7I_ADW_Probolinggo">#REF!</definedName>
    <definedName name="ZD7J_DC_Sukorejo">#REF!</definedName>
    <definedName name="ZD7L_ADW_Gresik">#REF!</definedName>
    <definedName name="ZD7M_ADW_Mojokerto">#REF!</definedName>
    <definedName name="ZD7N_ADW_Sidoarjo">#REF!</definedName>
    <definedName name="ZD7O_DC_Surabaya_Margomulyo">#REF!</definedName>
    <definedName name="ZD8A_ADW_Denpasar">#REF!</definedName>
    <definedName name="ZD8B_DPC_Singaraja">#REF!</definedName>
    <definedName name="ZD8C_ADW_Mataram">#REF!</definedName>
    <definedName name="ZD8D_ADW_Kupang">#REF!</definedName>
    <definedName name="ZD8E_DPC_Ende">#REF!</definedName>
    <definedName name="ZD9A_ADW_Pontianak">#REF!</definedName>
    <definedName name="ZD9B_ADW_Sintang">#REF!</definedName>
    <definedName name="ZD9C_ADW_Banjarmasin">#REF!</definedName>
    <definedName name="ZD9D_DPC_Barabai">#REF!</definedName>
    <definedName name="ZD9E_ADW_Palangkaraya">#REF!</definedName>
    <definedName name="ZD9F_ADW_Samarinda">#REF!</definedName>
    <definedName name="ZD9H_ADW_Balikpapan">#REF!</definedName>
    <definedName name="ZD9I_DPC_Sangatta">#REF!</definedName>
    <definedName name="ZD9J_Depo_Samarinda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el5_18" name="Tabel5_18" connection="WorksheetConnection_Temperature &amp; Humidity _ 11-10-2021.xlsm!Tabel5_18"/>
          <x15:modelTable id="Tabel5" name="Tabel5" connection="WorksheetConnection_Temperature &amp; Humidity _ 11-10-2021.xlsm!Tabel5"/>
          <x15:modelTable id="Tabel3_116" name="Tabel3_116" connection="WorksheetConnection_Temperature &amp; Humidity _ 11-10-2021.xlsm!Tabel3_116"/>
          <x15:modelTable id="Tabel3" name="Tabel3" connection="WorksheetConnection_Temperature &amp; Humidity _ 11-10-2021.xlsm!Tabel3"/>
          <x15:modelTable id="Tabel14" name="Tabel14" connection="WorksheetConnection_Temperature &amp; Humidity _ 11-10-2021.xlsm!Tabel14"/>
        </x15:modelTables>
        <x15:modelRelationships>
          <x15:modelRelationship fromTable="Tabel5" fromColumn="IDLocation" toTable="Tabel3" toColumn="IDLocation"/>
          <x15:modelRelationship fromTable="Tabel5_18" fromColumn="WarehouseName" toTable="Tabel3_116" toColumn="WarehouseNam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7" i="25" l="1"/>
  <c r="H16" i="25"/>
  <c r="H15" i="25"/>
  <c r="H14" i="25"/>
  <c r="H13" i="25"/>
  <c r="H12" i="25"/>
  <c r="H11" i="25"/>
  <c r="H10" i="25"/>
  <c r="H9" i="25"/>
  <c r="H8" i="25"/>
  <c r="H7" i="25"/>
  <c r="H6" i="25"/>
  <c r="G1" i="25"/>
  <c r="D7" i="25"/>
  <c r="D11" i="25"/>
  <c r="D117" i="25"/>
  <c r="D118" i="25"/>
  <c r="D119" i="25"/>
  <c r="D120" i="25"/>
  <c r="D121" i="25"/>
  <c r="D122" i="25"/>
  <c r="D123" i="25"/>
  <c r="D124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10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8" i="25"/>
  <c r="D9" i="25"/>
  <c r="D6" i="25"/>
  <c r="Z5" i="23" l="1"/>
  <c r="Z5" i="22"/>
  <c r="Q18" i="20"/>
  <c r="L18" i="20"/>
  <c r="F4" i="21" l="1"/>
  <c r="F5" i="21"/>
  <c r="F6" i="21"/>
  <c r="F7" i="21"/>
  <c r="F8" i="21"/>
  <c r="F9" i="21"/>
  <c r="F10" i="21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26" i="21"/>
  <c r="F27" i="21"/>
  <c r="F28" i="21"/>
  <c r="F29" i="21"/>
  <c r="F30" i="21"/>
  <c r="F31" i="21"/>
  <c r="F32" i="21"/>
  <c r="F33" i="21"/>
  <c r="F34" i="21"/>
  <c r="F35" i="21"/>
  <c r="F36" i="21"/>
  <c r="F37" i="21"/>
  <c r="F38" i="21"/>
  <c r="F39" i="21"/>
  <c r="F40" i="21"/>
  <c r="F41" i="21"/>
  <c r="F42" i="21"/>
  <c r="F43" i="21"/>
  <c r="F44" i="21"/>
  <c r="F45" i="21"/>
  <c r="F46" i="21"/>
  <c r="F47" i="21"/>
  <c r="F48" i="21"/>
  <c r="F49" i="21"/>
  <c r="F50" i="21"/>
  <c r="F51" i="21"/>
  <c r="F52" i="21"/>
  <c r="F53" i="21"/>
  <c r="F54" i="21"/>
  <c r="F55" i="21"/>
  <c r="F56" i="21"/>
  <c r="F57" i="21"/>
  <c r="F58" i="21"/>
  <c r="F59" i="21"/>
  <c r="F60" i="21"/>
  <c r="AC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ModelConnection_Tabel3_1" description="Model Data" type="5" refreshedVersion="7" minRefreshableVersion="5" saveData="1">
    <dbPr connection="Data Model Connection" command="Tabel3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2000000}" keepAlive="1" name="ThisWorkbookDataModel" description="Model Data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00000000-0015-0000-FFFF-FFFF03000000}" name="WorksheetConnection_Temperature &amp; Humidity _ 11-10-2021.xlsm!Tabel14" type="102" refreshedVersion="7" minRefreshableVersion="5">
    <extLst>
      <ext xmlns:x15="http://schemas.microsoft.com/office/spreadsheetml/2010/11/main" uri="{DE250136-89BD-433C-8126-D09CA5730AF9}">
        <x15:connection id="Tabel14">
          <x15:rangePr sourceName="_xlcn.WorksheetConnection_TemperatureHumidity_11102021.xlsmTabel14"/>
        </x15:connection>
      </ext>
    </extLst>
  </connection>
  <connection id="4" xr16:uid="{00000000-0015-0000-FFFF-FFFF04000000}" name="WorksheetConnection_Temperature &amp; Humidity _ 11-10-2021.xlsm!Tabel3" type="102" refreshedVersion="7" minRefreshableVersion="5">
    <extLst>
      <ext xmlns:x15="http://schemas.microsoft.com/office/spreadsheetml/2010/11/main" uri="{DE250136-89BD-433C-8126-D09CA5730AF9}">
        <x15:connection id="Tabel3">
          <x15:rangePr sourceName="_xlcn.WorksheetConnection_TemperatureHumidity_11102021.xlsmTabel3"/>
        </x15:connection>
      </ext>
    </extLst>
  </connection>
  <connection id="5" xr16:uid="{00000000-0015-0000-FFFF-FFFF05000000}" name="WorksheetConnection_Temperature &amp; Humidity _ 11-10-2021.xlsm!Tabel3_116" type="102" refreshedVersion="7" minRefreshableVersion="5">
    <extLst>
      <ext xmlns:x15="http://schemas.microsoft.com/office/spreadsheetml/2010/11/main" uri="{DE250136-89BD-433C-8126-D09CA5730AF9}">
        <x15:connection id="Tabel3_116">
          <x15:rangePr sourceName="_xlcn.WorksheetConnection_TemperatureHumidity_11102021.xlsmTabel3_116"/>
        </x15:connection>
      </ext>
    </extLst>
  </connection>
  <connection id="6" xr16:uid="{00000000-0015-0000-FFFF-FFFF06000000}" name="WorksheetConnection_Temperature &amp; Humidity _ 11-10-2021.xlsm!Tabel5" type="102" refreshedVersion="7" minRefreshableVersion="5">
    <extLst>
      <ext xmlns:x15="http://schemas.microsoft.com/office/spreadsheetml/2010/11/main" uri="{DE250136-89BD-433C-8126-D09CA5730AF9}">
        <x15:connection id="Tabel5">
          <x15:rangePr sourceName="_xlcn.WorksheetConnection_TemperatureHumidity_11102021.xlsmTabel5"/>
        </x15:connection>
      </ext>
    </extLst>
  </connection>
  <connection id="7" xr16:uid="{00000000-0015-0000-FFFF-FFFF07000000}" name="WorksheetConnection_Temperature &amp; Humidity _ 11-10-2021.xlsm!Tabel5_18" type="102" refreshedVersion="7" minRefreshableVersion="5">
    <extLst>
      <ext xmlns:x15="http://schemas.microsoft.com/office/spreadsheetml/2010/11/main" uri="{DE250136-89BD-433C-8126-D09CA5730AF9}">
        <x15:connection id="Tabel5_18">
          <x15:rangePr sourceName="_xlcn.WorksheetConnection_TemperatureHumidity_11102021.xlsmTabel5_18"/>
        </x15:connection>
      </ext>
    </extLst>
  </connection>
</connections>
</file>

<file path=xl/sharedStrings.xml><?xml version="1.0" encoding="utf-8"?>
<sst xmlns="http://schemas.openxmlformats.org/spreadsheetml/2006/main" count="1231" uniqueCount="662">
  <si>
    <t>Create By</t>
  </si>
  <si>
    <t>Create Date</t>
  </si>
  <si>
    <t>Update Date</t>
  </si>
  <si>
    <t>Update By</t>
  </si>
  <si>
    <t>ZD5M</t>
  </si>
  <si>
    <t>DPC Sumedang</t>
  </si>
  <si>
    <t>IDLocation</t>
  </si>
  <si>
    <t>LocationName</t>
  </si>
  <si>
    <t>ZD0A</t>
  </si>
  <si>
    <t>ADW Makassar</t>
  </si>
  <si>
    <t>ZD0B</t>
  </si>
  <si>
    <t>ADW Pare - Pare</t>
  </si>
  <si>
    <t>ZD0C</t>
  </si>
  <si>
    <t>DPC Palopo</t>
  </si>
  <si>
    <t>ZD0D</t>
  </si>
  <si>
    <t>ADW Manado</t>
  </si>
  <si>
    <t>ZD0E</t>
  </si>
  <si>
    <t>ADW Ambon</t>
  </si>
  <si>
    <t>ZD0F</t>
  </si>
  <si>
    <t>ADW Palu</t>
  </si>
  <si>
    <t>ZD0G</t>
  </si>
  <si>
    <t>ADW Gorontalo</t>
  </si>
  <si>
    <t>ZD0H</t>
  </si>
  <si>
    <t>ADW Ternate</t>
  </si>
  <si>
    <t>ZD0I</t>
  </si>
  <si>
    <t>ADW Papua</t>
  </si>
  <si>
    <t>ZD0J</t>
  </si>
  <si>
    <t>DPC Bone</t>
  </si>
  <si>
    <t>ZD0K</t>
  </si>
  <si>
    <t>ADW Kendari</t>
  </si>
  <si>
    <t>ZD0M</t>
  </si>
  <si>
    <t>ADW Sorong</t>
  </si>
  <si>
    <t>ZD1A</t>
  </si>
  <si>
    <t>ADW Medan 2</t>
  </si>
  <si>
    <t>ZD1B</t>
  </si>
  <si>
    <t>ADW Tanah Karo</t>
  </si>
  <si>
    <t>ZD1C</t>
  </si>
  <si>
    <t>DPC Langkat</t>
  </si>
  <si>
    <t>ZD1D</t>
  </si>
  <si>
    <t>ADW Pematang Siantar</t>
  </si>
  <si>
    <t>ZD1E</t>
  </si>
  <si>
    <t>DPC Rantau Prapat</t>
  </si>
  <si>
    <t>ZD1F</t>
  </si>
  <si>
    <t>ADW Banda Aceh</t>
  </si>
  <si>
    <t>ZD1G</t>
  </si>
  <si>
    <t>DPC Meulaboh</t>
  </si>
  <si>
    <t>ZD1H</t>
  </si>
  <si>
    <t>ADW Lhokseumawe</t>
  </si>
  <si>
    <t>ZD1I</t>
  </si>
  <si>
    <t>DPC Langsa</t>
  </si>
  <si>
    <t>ZD1J</t>
  </si>
  <si>
    <t>ADW Padang Sidempuan</t>
  </si>
  <si>
    <t>ZD1K</t>
  </si>
  <si>
    <t>DPC Sibolga</t>
  </si>
  <si>
    <t>ZD1L</t>
  </si>
  <si>
    <t>Depo Medan</t>
  </si>
  <si>
    <t>ZD1M</t>
  </si>
  <si>
    <t>ADW Kisaran</t>
  </si>
  <si>
    <t>ZD1N</t>
  </si>
  <si>
    <t>ADW Medan 1</t>
  </si>
  <si>
    <t>ZD2A</t>
  </si>
  <si>
    <t>ADW Padang</t>
  </si>
  <si>
    <t>ZD2B</t>
  </si>
  <si>
    <t>DPC Solok</t>
  </si>
  <si>
    <t>ZD2C</t>
  </si>
  <si>
    <t>ADW Bukit Tinggi</t>
  </si>
  <si>
    <t>ZD2D</t>
  </si>
  <si>
    <t>ADW Pekanbaru</t>
  </si>
  <si>
    <t>ZD2E</t>
  </si>
  <si>
    <t>ADW Duri</t>
  </si>
  <si>
    <t>ZD2F</t>
  </si>
  <si>
    <t>ADW Air Molek</t>
  </si>
  <si>
    <t>ZD2G</t>
  </si>
  <si>
    <t>ADW Batam</t>
  </si>
  <si>
    <t>ZD2H</t>
  </si>
  <si>
    <t>DPC Tanjung Pinang</t>
  </si>
  <si>
    <t>ZD2I</t>
  </si>
  <si>
    <t>DPC Tanjung Balai Karimun</t>
  </si>
  <si>
    <t>ZD3B</t>
  </si>
  <si>
    <t>ADW Lampung</t>
  </si>
  <si>
    <t>ZD3C</t>
  </si>
  <si>
    <t>ADW Kota Bumi</t>
  </si>
  <si>
    <t>ZD3D</t>
  </si>
  <si>
    <t>ADW Palembang</t>
  </si>
  <si>
    <t>ZD3E</t>
  </si>
  <si>
    <t>ADW Lahat</t>
  </si>
  <si>
    <t>ZD3F</t>
  </si>
  <si>
    <t>DPC Batu Raja</t>
  </si>
  <si>
    <t>ZD3G</t>
  </si>
  <si>
    <t>ADW Jambi</t>
  </si>
  <si>
    <t>ZD3H</t>
  </si>
  <si>
    <t>ADW Muara Bungo</t>
  </si>
  <si>
    <t>ZD3I</t>
  </si>
  <si>
    <t>ADW Bengkulu</t>
  </si>
  <si>
    <t>ZD3J</t>
  </si>
  <si>
    <t>ADW Pangkal Pinang</t>
  </si>
  <si>
    <t>ZD3K</t>
  </si>
  <si>
    <t>DPC Lubuk Linggau</t>
  </si>
  <si>
    <t>ZD3L</t>
  </si>
  <si>
    <t>ADW Metro</t>
  </si>
  <si>
    <t>ZD3M</t>
  </si>
  <si>
    <t>DPC Pringsewu</t>
  </si>
  <si>
    <t>ZD3N</t>
  </si>
  <si>
    <t>DPC Kalianda</t>
  </si>
  <si>
    <t>ZD3O</t>
  </si>
  <si>
    <t>DPC Tuba</t>
  </si>
  <si>
    <t>ZD3Q</t>
  </si>
  <si>
    <t>ADW Palembang 2</t>
  </si>
  <si>
    <t>ZD4A</t>
  </si>
  <si>
    <t>DC Karawang Lot. 17</t>
  </si>
  <si>
    <t>ZD4B</t>
  </si>
  <si>
    <t>DC Karawang Lot. 41</t>
  </si>
  <si>
    <t>ZD4C</t>
  </si>
  <si>
    <t>DPC Jakarta Utara (T)</t>
  </si>
  <si>
    <t>ZD4D</t>
  </si>
  <si>
    <t>ADW Jakarta Barat</t>
  </si>
  <si>
    <t>ZD4E</t>
  </si>
  <si>
    <t>ADW Tangerang</t>
  </si>
  <si>
    <t>ZD4F</t>
  </si>
  <si>
    <t>DPC Jakarta Timur</t>
  </si>
  <si>
    <t>ZD4G</t>
  </si>
  <si>
    <t>ADW Bogor</t>
  </si>
  <si>
    <t>ZD4H</t>
  </si>
  <si>
    <t>ADW Jakarta Timur A</t>
  </si>
  <si>
    <t>ZD4I</t>
  </si>
  <si>
    <t>ADW Karawang</t>
  </si>
  <si>
    <t>ZD4J</t>
  </si>
  <si>
    <t>ADW Serang</t>
  </si>
  <si>
    <t>ZD4K</t>
  </si>
  <si>
    <t>ADW Jakarta Pusat</t>
  </si>
  <si>
    <t>ZD4L</t>
  </si>
  <si>
    <t>DPC Jakarta Pusat A</t>
  </si>
  <si>
    <t>ZD4M</t>
  </si>
  <si>
    <t>ADW Jakarta Selatan</t>
  </si>
  <si>
    <t>ZD4N</t>
  </si>
  <si>
    <t>ADW Depok</t>
  </si>
  <si>
    <t>ZD4O</t>
  </si>
  <si>
    <t>ADW Bekasi</t>
  </si>
  <si>
    <t>ZD4P</t>
  </si>
  <si>
    <t>DPC Bogor</t>
  </si>
  <si>
    <t>ZD4Q</t>
  </si>
  <si>
    <t>DPC Tangerang A</t>
  </si>
  <si>
    <t>ZD4R</t>
  </si>
  <si>
    <t>ADW Labuan</t>
  </si>
  <si>
    <t>ZD4S</t>
  </si>
  <si>
    <t>DPC Pondok Pinang</t>
  </si>
  <si>
    <t>ZD4T</t>
  </si>
  <si>
    <t>ADW Jakarta Utara</t>
  </si>
  <si>
    <t>ZD5A</t>
  </si>
  <si>
    <t>ADW Bandung</t>
  </si>
  <si>
    <t>ZD5B</t>
  </si>
  <si>
    <t>ADW Bandung 3</t>
  </si>
  <si>
    <t>ZD5C</t>
  </si>
  <si>
    <t>ADW Sukabumi</t>
  </si>
  <si>
    <t>ZD5D</t>
  </si>
  <si>
    <t>ADW Tasikmalaya</t>
  </si>
  <si>
    <t>ZD5E</t>
  </si>
  <si>
    <t>ADW Garut</t>
  </si>
  <si>
    <t>ZD5F</t>
  </si>
  <si>
    <t>ADW Cirebon</t>
  </si>
  <si>
    <t>ZD5G</t>
  </si>
  <si>
    <t>DPC Indramayu</t>
  </si>
  <si>
    <t>ZD5H</t>
  </si>
  <si>
    <t>ADW Purwokerto</t>
  </si>
  <si>
    <t>ZD5I</t>
  </si>
  <si>
    <t>Dunex - Yos Sudarso</t>
  </si>
  <si>
    <t>ZD5J</t>
  </si>
  <si>
    <t>Kiat Ananda (Naragong-Bekasi)</t>
  </si>
  <si>
    <t>ZD5K</t>
  </si>
  <si>
    <t>DPC Cianjur</t>
  </si>
  <si>
    <t>ZD6B</t>
  </si>
  <si>
    <t>ADW Semarang</t>
  </si>
  <si>
    <t>ZD6C</t>
  </si>
  <si>
    <t>ADW Tegal</t>
  </si>
  <si>
    <t>ZD6D</t>
  </si>
  <si>
    <t>DPC Pekalongan</t>
  </si>
  <si>
    <t>ZD6E</t>
  </si>
  <si>
    <t>ADW Pati</t>
  </si>
  <si>
    <t>ZD6F</t>
  </si>
  <si>
    <t>ADW Yogyakarta</t>
  </si>
  <si>
    <t>ZD6G</t>
  </si>
  <si>
    <t>ADW Magelang</t>
  </si>
  <si>
    <t>ZD6H</t>
  </si>
  <si>
    <t>ADW Surakarta</t>
  </si>
  <si>
    <t>ZD6I</t>
  </si>
  <si>
    <t>ADW Madiun</t>
  </si>
  <si>
    <t>ZD6J</t>
  </si>
  <si>
    <t>ADW Salatiga</t>
  </si>
  <si>
    <t>ZD6K</t>
  </si>
  <si>
    <t>DPC Cilacap</t>
  </si>
  <si>
    <t>ZD7B</t>
  </si>
  <si>
    <t>ADW Surabaya</t>
  </si>
  <si>
    <t>ZD7C</t>
  </si>
  <si>
    <t>ADW Tuban</t>
  </si>
  <si>
    <t>ZD7D</t>
  </si>
  <si>
    <t>ADW Malang</t>
  </si>
  <si>
    <t>ZD7E</t>
  </si>
  <si>
    <t>ADW Kediri</t>
  </si>
  <si>
    <t>ZD7F</t>
  </si>
  <si>
    <t>ADW Pamekasan</t>
  </si>
  <si>
    <t>ZD7G</t>
  </si>
  <si>
    <t>ADW Jember</t>
  </si>
  <si>
    <t>ZD7H</t>
  </si>
  <si>
    <t>DPC Banyuwangi</t>
  </si>
  <si>
    <t>ZD7I</t>
  </si>
  <si>
    <t>ADW Probolinggo</t>
  </si>
  <si>
    <t>ZD7J</t>
  </si>
  <si>
    <t>DC Sukorejo</t>
  </si>
  <si>
    <t>ZD7L</t>
  </si>
  <si>
    <t>ADW Gresik</t>
  </si>
  <si>
    <t>ZD7M</t>
  </si>
  <si>
    <t>ADW Mojokerto</t>
  </si>
  <si>
    <t>ZD7N</t>
  </si>
  <si>
    <t>ADW Sidoarjo</t>
  </si>
  <si>
    <t>ZD7O</t>
  </si>
  <si>
    <t>DC Surabaya - Margomulyo</t>
  </si>
  <si>
    <t>ZD8A</t>
  </si>
  <si>
    <t>ADW Denpasar</t>
  </si>
  <si>
    <t>ZD8B</t>
  </si>
  <si>
    <t>DPC Singaraja</t>
  </si>
  <si>
    <t>ZD8C</t>
  </si>
  <si>
    <t>ADW Mataram</t>
  </si>
  <si>
    <t>ZD8D</t>
  </si>
  <si>
    <t>ADW Kupang</t>
  </si>
  <si>
    <t>ZD8E</t>
  </si>
  <si>
    <t>DPC Ende</t>
  </si>
  <si>
    <t>ZD9A</t>
  </si>
  <si>
    <t>ADW Pontianak</t>
  </si>
  <si>
    <t>ZD9B</t>
  </si>
  <si>
    <t>ADW Sintang</t>
  </si>
  <si>
    <t>ZD9C</t>
  </si>
  <si>
    <t>ADW Banjarmasin</t>
  </si>
  <si>
    <t>ZD9D</t>
  </si>
  <si>
    <t>DPC Barabai</t>
  </si>
  <si>
    <t>ZD9E</t>
  </si>
  <si>
    <t>ADW Palangkaraya</t>
  </si>
  <si>
    <t>ZD9F</t>
  </si>
  <si>
    <t>ADW Samarinda</t>
  </si>
  <si>
    <t>ZD9H</t>
  </si>
  <si>
    <t>ADW Balikpapan</t>
  </si>
  <si>
    <t>ZD9I</t>
  </si>
  <si>
    <t>DPC Sangatta</t>
  </si>
  <si>
    <t>ZD9J</t>
  </si>
  <si>
    <t>Depo Samarinda</t>
  </si>
  <si>
    <t>ZD0F - ADW Palu</t>
  </si>
  <si>
    <t>ZD0H - ADW Ternate</t>
  </si>
  <si>
    <t>ZD0E - ADW Ambon</t>
  </si>
  <si>
    <t>ZD0K - ADW Kendari</t>
  </si>
  <si>
    <t>ZD9H - ADW Balikpapan</t>
  </si>
  <si>
    <t>ZD1A - ADW Medan 2</t>
  </si>
  <si>
    <t>WarehouseName</t>
  </si>
  <si>
    <t>ZD0A - ADW Makassar</t>
  </si>
  <si>
    <t>ZD0B - ADW Pare - Pare</t>
  </si>
  <si>
    <t>ZD0C - DPC Palopo</t>
  </si>
  <si>
    <t>ZD0D - ADW Manado</t>
  </si>
  <si>
    <t>ZD0G - ADW Gorontalo</t>
  </si>
  <si>
    <t>ZD0J - DPC Bone</t>
  </si>
  <si>
    <t>ZD1B - ADW Tanah Karo</t>
  </si>
  <si>
    <t>ZD1C - DPC Langkat</t>
  </si>
  <si>
    <t>ZD1D - ADW Pematang Siantar</t>
  </si>
  <si>
    <t>ZD1E - DPC Rantau Prapat</t>
  </si>
  <si>
    <t>ZD1F - ADW Banda Aceh</t>
  </si>
  <si>
    <t>ZD1G - DPC Meulaboh</t>
  </si>
  <si>
    <t>ZD1H - ADW Lhokseumawe</t>
  </si>
  <si>
    <t>ZD1I - DPC Langsa</t>
  </si>
  <si>
    <t>ZD1J - ADW Padang Sidempuan</t>
  </si>
  <si>
    <t>ZD1K - DPC Sibolga</t>
  </si>
  <si>
    <t>ZD1L - Depo Medan</t>
  </si>
  <si>
    <t>ZD1M - ADW Kisaran</t>
  </si>
  <si>
    <t>ZD1N - ADW Medan 1</t>
  </si>
  <si>
    <t>ZD2A - ADW Padang</t>
  </si>
  <si>
    <t>ZD2B - DPC Solok</t>
  </si>
  <si>
    <t>ZD2C - ADW Bukit Tinggi</t>
  </si>
  <si>
    <t>ZD2D - ADW Pekanbaru</t>
  </si>
  <si>
    <t>ZD2E - ADW Duri</t>
  </si>
  <si>
    <t>ZD2F - ADW Air Molek</t>
  </si>
  <si>
    <t>ZD2G - ADW Batam</t>
  </si>
  <si>
    <t>ZD3B - ADW Lampung</t>
  </si>
  <si>
    <t>ZD3C - ADW Kota Bumi</t>
  </si>
  <si>
    <t>ZD3D - ADW Palembang</t>
  </si>
  <si>
    <t>ZD3E - ADW Lahat</t>
  </si>
  <si>
    <t>ZD3F - DPC Batu Raja</t>
  </si>
  <si>
    <t>ZD3G - ADW Jambi</t>
  </si>
  <si>
    <t>ZD3H - ADW Muara Bungo</t>
  </si>
  <si>
    <t>ZD3I - ADW Bengkulu</t>
  </si>
  <si>
    <t>ZD3K - DPC Lubuk Linggau</t>
  </si>
  <si>
    <t>ZD3L - ADW Metro</t>
  </si>
  <si>
    <t>ZD3M - DPC Pringsewu</t>
  </si>
  <si>
    <t>ZD3N - DPC Kalianda</t>
  </si>
  <si>
    <t>ZD3O - DPC Tuba</t>
  </si>
  <si>
    <t>ZD3Q - ADW Palembang 2</t>
  </si>
  <si>
    <t>ZD4A - DC Karawang Lot. 17</t>
  </si>
  <si>
    <t>ZD4B - DC Karawang Lot. 41</t>
  </si>
  <si>
    <t>ZD4T - ADW Jakarta Utara</t>
  </si>
  <si>
    <t>ZD4D - ADW Jakarta Barat</t>
  </si>
  <si>
    <t>ZD4E - ADW Tangerang</t>
  </si>
  <si>
    <t>ZD4F - DPC Jakarta Timur</t>
  </si>
  <si>
    <t>ZD4G - ADW Bogor</t>
  </si>
  <si>
    <t>ZD4H - ADW Jakarta Timur A</t>
  </si>
  <si>
    <t>ZD4I - ADW Karawang</t>
  </si>
  <si>
    <t>ZD4J - ADW Serang</t>
  </si>
  <si>
    <t>ZD4K - ADW Jakarta Pusat</t>
  </si>
  <si>
    <t>ZD4L - DPC Jakarta Pusat A</t>
  </si>
  <si>
    <t>ZD4M - ADW Jakarta Selatan</t>
  </si>
  <si>
    <t>ZD4N - ADW Depok</t>
  </si>
  <si>
    <t>ZD4O - ADW Bekasi</t>
  </si>
  <si>
    <t>ZD4P - DPC Bogor</t>
  </si>
  <si>
    <t>ZD4Q - DPC Tangerang A</t>
  </si>
  <si>
    <t>ZD4R - ADW Labuan</t>
  </si>
  <si>
    <t>ZD5A - ADW Bandung</t>
  </si>
  <si>
    <t>ZD5B - ADW Bandung 3</t>
  </si>
  <si>
    <t>ZD5C - ADW Sukabumi</t>
  </si>
  <si>
    <t>ZD5D - ADW Tasikmalaya</t>
  </si>
  <si>
    <t>ZD5E - ADW Garut</t>
  </si>
  <si>
    <t>ZD5F - ADW Cirebon</t>
  </si>
  <si>
    <t>ZD5G - DPC Indramayu</t>
  </si>
  <si>
    <t>ZD5H - ADW Purwokerto</t>
  </si>
  <si>
    <t>ZD5I - Dunex - Yos Sudarso</t>
  </si>
  <si>
    <t>ZD5J - Kiat Ananda (Naragong-Bekasi)</t>
  </si>
  <si>
    <t>ZD5K - DPC Cianjur</t>
  </si>
  <si>
    <t>ZD5M - DPC Sumedang</t>
  </si>
  <si>
    <t>ZD6B - ADW Semarang</t>
  </si>
  <si>
    <t>ZD6C - ADW Tegal</t>
  </si>
  <si>
    <t>ZD6D - DPC Pekalongan</t>
  </si>
  <si>
    <t>ZD6E - ADW Pati</t>
  </si>
  <si>
    <t>ZD6F - ADW Yogyakarta</t>
  </si>
  <si>
    <t>ZD6G - ADW Magelang</t>
  </si>
  <si>
    <t>ZD6H - ADW Surakarta</t>
  </si>
  <si>
    <t>ZD6I - ADW Madiun</t>
  </si>
  <si>
    <t>ZD6J - ADW Salatiga</t>
  </si>
  <si>
    <t>ZD6K - DPC Cilacap</t>
  </si>
  <si>
    <t>ZD7B - ADW Surabaya</t>
  </si>
  <si>
    <t>ZD7C - ADW Tuban</t>
  </si>
  <si>
    <t>ZD7D - ADW Malang</t>
  </si>
  <si>
    <t>ZD7E - ADW Kediri</t>
  </si>
  <si>
    <t>ZD7F - ADW Pamekasan</t>
  </si>
  <si>
    <t>ZD7G - ADW Jember</t>
  </si>
  <si>
    <t>ZD7H - DPC Banyuwangi</t>
  </si>
  <si>
    <t>ZD7I - ADW Probolinggo</t>
  </si>
  <si>
    <t>ZD7J - DC Sukorejo</t>
  </si>
  <si>
    <t>ZD7L - ADW Gresik</t>
  </si>
  <si>
    <t>ZD7M - ADW Mojokerto</t>
  </si>
  <si>
    <t>ZD7N - ADW Sidoarjo</t>
  </si>
  <si>
    <t>ZD7O - DC Surabaya - Margomulyo</t>
  </si>
  <si>
    <t>ZD8A - ADW Denpasar</t>
  </si>
  <si>
    <t>ZD8B - DPC Singaraja</t>
  </si>
  <si>
    <t>ZD8C - ADW Mataram</t>
  </si>
  <si>
    <t>ZD8D - ADW Kupang</t>
  </si>
  <si>
    <t>ZD9A - ADW Pontianak</t>
  </si>
  <si>
    <t>ZD9B - ADW Sintang</t>
  </si>
  <si>
    <t>ZD9C - ADW Banjarmasin</t>
  </si>
  <si>
    <t>ZD9D - DPC Barabai</t>
  </si>
  <si>
    <t>ZD9F - ADW Samarinda</t>
  </si>
  <si>
    <t>ZD9I - DPC Sangatta</t>
  </si>
  <si>
    <t>ZD9J - Depo Samarinda</t>
  </si>
  <si>
    <t>ZD8E - DPC Ende</t>
  </si>
  <si>
    <t>ZD4S - DPC Pondok Pinang</t>
  </si>
  <si>
    <t>ZD4C - DPC Jakarta Utara (T)</t>
  </si>
  <si>
    <t>ZD0I - ADW Papua</t>
  </si>
  <si>
    <t>ZD0M - ADW Sorong</t>
  </si>
  <si>
    <t>ZD2H - DPC Tanjung Pinang</t>
  </si>
  <si>
    <t>ZD2I - DPC Tanjung Balai Karimun</t>
  </si>
  <si>
    <t>ZD3J - ADW Pangkal Pinang</t>
  </si>
  <si>
    <t>ZD9E - ADW Palangkaraya</t>
  </si>
  <si>
    <t xml:space="preserve">Row : </t>
  </si>
  <si>
    <t>Warehouse</t>
  </si>
  <si>
    <t>Year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</si>
  <si>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</si>
  <si>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</si>
  <si>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</si>
  <si>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</si>
  <si>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</si>
  <si>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</si>
  <si>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</si>
  <si>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</si>
  <si>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</si>
  <si>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</si>
  <si>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</si>
  <si>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</si>
  <si>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Regional</t>
  </si>
  <si>
    <t>Plant</t>
  </si>
  <si>
    <t>Material Document</t>
  </si>
  <si>
    <t>Posting Date</t>
  </si>
  <si>
    <t>Description</t>
  </si>
  <si>
    <t>Qty</t>
  </si>
  <si>
    <t>Uom</t>
  </si>
  <si>
    <t/>
  </si>
  <si>
    <t>NPUTRI</t>
  </si>
  <si>
    <t>PV-2021039</t>
  </si>
  <si>
    <t>PAC</t>
  </si>
  <si>
    <t>DSS1623400O1</t>
  </si>
  <si>
    <t>FA078306.00</t>
  </si>
  <si>
    <t>GI phys.inv.: whse</t>
  </si>
  <si>
    <t>702</t>
  </si>
  <si>
    <t>4968952450</t>
  </si>
  <si>
    <t>1000</t>
  </si>
  <si>
    <t>ADO Tangerang</t>
  </si>
  <si>
    <t>PV-2021043</t>
  </si>
  <si>
    <t>SAH1212200O1</t>
  </si>
  <si>
    <t>FA078301.03</t>
  </si>
  <si>
    <t>PV-2021042</t>
  </si>
  <si>
    <t>DSS1217550O1</t>
  </si>
  <si>
    <t>FA078299.00</t>
  </si>
  <si>
    <t>PK</t>
  </si>
  <si>
    <t>TH</t>
  </si>
  <si>
    <t>DSM1220400O1</t>
  </si>
  <si>
    <t>FA078298.00</t>
  </si>
  <si>
    <t>PI</t>
  </si>
  <si>
    <t>MMI2035800O1</t>
  </si>
  <si>
    <t>FA069748.08</t>
  </si>
  <si>
    <t>PB</t>
  </si>
  <si>
    <t>UML1627200O1</t>
  </si>
  <si>
    <t>FA067814.12</t>
  </si>
  <si>
    <t>PJ</t>
  </si>
  <si>
    <t>MTB1627200O1</t>
  </si>
  <si>
    <t>FA062333.12</t>
  </si>
  <si>
    <t>MBR2035800O1</t>
  </si>
  <si>
    <t>FA052576.21</t>
  </si>
  <si>
    <t>AVR2034000O1</t>
  </si>
  <si>
    <t>FA048259.13</t>
  </si>
  <si>
    <t>AVM2034000O1</t>
  </si>
  <si>
    <t>FA048258.14</t>
  </si>
  <si>
    <t>MLD1220400O1</t>
  </si>
  <si>
    <t>FA045795.19</t>
  </si>
  <si>
    <t>DMM1627200O1</t>
  </si>
  <si>
    <t>FA045300.08</t>
  </si>
  <si>
    <t>DSB1219175O1</t>
  </si>
  <si>
    <t>FA035621.23</t>
  </si>
  <si>
    <t>Time of Entry</t>
  </si>
  <si>
    <t>Purchase Order</t>
  </si>
  <si>
    <t>Quantity</t>
  </si>
  <si>
    <t>Document Date</t>
  </si>
  <si>
    <t>User name</t>
  </si>
  <si>
    <t>Batch</t>
  </si>
  <si>
    <t>Unit of Entry</t>
  </si>
  <si>
    <t>Qty in Un. of Entry</t>
  </si>
  <si>
    <t>Material Description</t>
  </si>
  <si>
    <t>Material</t>
  </si>
  <si>
    <t>Movement Type Text</t>
  </si>
  <si>
    <t>Movement Type</t>
  </si>
  <si>
    <t>Document Header Text</t>
  </si>
  <si>
    <t>Reference</t>
  </si>
  <si>
    <t>Storage Location</t>
  </si>
  <si>
    <t>Name 1</t>
  </si>
  <si>
    <t>DST12</t>
  </si>
  <si>
    <t>ROA16</t>
  </si>
  <si>
    <t>PNK12</t>
  </si>
  <si>
    <t>KAM12</t>
  </si>
  <si>
    <t>BAJ12</t>
  </si>
  <si>
    <t>MSP12</t>
  </si>
  <si>
    <t>BRJ12</t>
  </si>
  <si>
    <t>ZIG16</t>
  </si>
  <si>
    <t>BLK12</t>
  </si>
  <si>
    <t>DEA12</t>
  </si>
  <si>
    <t>TER12</t>
  </si>
  <si>
    <t>AUL12</t>
  </si>
  <si>
    <t>AUL16</t>
  </si>
  <si>
    <t>KRI12</t>
  </si>
  <si>
    <t>MFE20</t>
  </si>
  <si>
    <t>MBA12</t>
  </si>
  <si>
    <t>MLD50</t>
  </si>
  <si>
    <t>PMM12</t>
  </si>
  <si>
    <t>MFB16</t>
  </si>
  <si>
    <t>SMS12</t>
  </si>
  <si>
    <t>MSU12</t>
  </si>
  <si>
    <t>MTR12</t>
  </si>
  <si>
    <t>MBC12</t>
  </si>
  <si>
    <t>MLE12</t>
  </si>
  <si>
    <t>MLE16</t>
  </si>
  <si>
    <t>MMG20</t>
  </si>
  <si>
    <t>MLG20</t>
  </si>
  <si>
    <t>MBG20</t>
  </si>
  <si>
    <t>DLE16</t>
  </si>
  <si>
    <t>MSU16</t>
  </si>
  <si>
    <t>MTR16</t>
  </si>
  <si>
    <t>DMM50</t>
  </si>
  <si>
    <t>DMM20</t>
  </si>
  <si>
    <t>PMB12</t>
  </si>
  <si>
    <t>SLE12</t>
  </si>
  <si>
    <t>DBE12</t>
  </si>
  <si>
    <t>UML12</t>
  </si>
  <si>
    <t>MMI20</t>
  </si>
  <si>
    <t>MFB12</t>
  </si>
  <si>
    <t>MTB16</t>
  </si>
  <si>
    <t>DLE12</t>
  </si>
  <si>
    <t>DSS12</t>
  </si>
  <si>
    <t>MFB20</t>
  </si>
  <si>
    <t>SAH12</t>
  </si>
  <si>
    <t>SAH10</t>
  </si>
  <si>
    <t>MBL20</t>
  </si>
  <si>
    <t>MBR20</t>
  </si>
  <si>
    <t>AVR20</t>
  </si>
  <si>
    <t>AVM20</t>
  </si>
  <si>
    <t>DSM12</t>
  </si>
  <si>
    <t>MLD12</t>
  </si>
  <si>
    <t>DMM16</t>
  </si>
  <si>
    <t>MLD16</t>
  </si>
  <si>
    <t>DSB12</t>
  </si>
  <si>
    <t>UMC16</t>
  </si>
  <si>
    <t>DSS16</t>
  </si>
  <si>
    <t>UML16</t>
  </si>
  <si>
    <t>Stick/Pack</t>
  </si>
  <si>
    <t>Pac/Slof</t>
  </si>
  <si>
    <t>pac/Bal</t>
  </si>
  <si>
    <t>Pac/Box</t>
  </si>
  <si>
    <t>SILAHKAN DIUPDATE JIKA ADA BRAND YANG BELUM MASUK</t>
  </si>
  <si>
    <t>BRAND</t>
  </si>
  <si>
    <t>Noted : Qty2</t>
  </si>
  <si>
    <t>Noted : Qty1</t>
  </si>
  <si>
    <t>Noted : Relasi Stock Take untuk sum by month &amp; year</t>
  </si>
  <si>
    <t>Nasional</t>
  </si>
  <si>
    <t>Jumlah Data       :</t>
  </si>
  <si>
    <t>Kalimantan</t>
  </si>
  <si>
    <t>ZD9J Depo Samarinda</t>
  </si>
  <si>
    <t>ZD9I DPC Sangatta</t>
  </si>
  <si>
    <t>ZD9H ADW Balikpapan</t>
  </si>
  <si>
    <t>ZD9F ADW Samarinda</t>
  </si>
  <si>
    <t>ZD9E ADW Palangkaraya</t>
  </si>
  <si>
    <t>ZD9D DPC Barabai</t>
  </si>
  <si>
    <t>ZD9C ADW Banjarmasin</t>
  </si>
  <si>
    <t>ZD9B ADW Sintang</t>
  </si>
  <si>
    <t>ZD9A ADW Pontianak</t>
  </si>
  <si>
    <t>Bali Nusra</t>
  </si>
  <si>
    <t>ZD8E DPC Ende</t>
  </si>
  <si>
    <t>ZD8D ADW Kupang</t>
  </si>
  <si>
    <t>ZD8C ADW Mataram</t>
  </si>
  <si>
    <t>ZD8B DPC Singaraja</t>
  </si>
  <si>
    <t>ZD8A ADW Denpasar</t>
  </si>
  <si>
    <t>Java 4</t>
  </si>
  <si>
    <t>ZD7O DC Surabaya Margomulyo</t>
  </si>
  <si>
    <t>ZD7N ADW Sidoarjo</t>
  </si>
  <si>
    <t>ZD7M ADW Mojokerto</t>
  </si>
  <si>
    <t>ZD7L ADW Gresik</t>
  </si>
  <si>
    <t>ZD7J DC Sukorejo</t>
  </si>
  <si>
    <t>ZD7I ADW Probolinggo</t>
  </si>
  <si>
    <t>ZD7H DPC Banyuwangi</t>
  </si>
  <si>
    <t>ZD7G ADW Jember</t>
  </si>
  <si>
    <t>ZD7F ADW Pamekasan</t>
  </si>
  <si>
    <t>Java 3</t>
  </si>
  <si>
    <t>ZD7E ADW Kediri</t>
  </si>
  <si>
    <t>ZD7D ADW Malang</t>
  </si>
  <si>
    <t>ZD7C ADW Tuban</t>
  </si>
  <si>
    <t>ZD7B ADW Surabaya</t>
  </si>
  <si>
    <t>Java 2</t>
  </si>
  <si>
    <t>ZD6K DPC Cilacap</t>
  </si>
  <si>
    <t>ZD6J ADW Salatiga</t>
  </si>
  <si>
    <t>ZD6I ADW Madiun</t>
  </si>
  <si>
    <t>ZD6H ADW Surakarta</t>
  </si>
  <si>
    <t>ZD6G ADW Magelang</t>
  </si>
  <si>
    <t>ZD6F ADW Yogyakarta</t>
  </si>
  <si>
    <t>ZD6E ADW Pati</t>
  </si>
  <si>
    <t>ZD6D DPC Pekalongan</t>
  </si>
  <si>
    <t>ZD6C ADW Tegal</t>
  </si>
  <si>
    <t>ZD6B ADW Semarang</t>
  </si>
  <si>
    <t>Java 1</t>
  </si>
  <si>
    <t>ZD5M DPC Sumedang</t>
  </si>
  <si>
    <t>ZD5K DPC Cianjur</t>
  </si>
  <si>
    <t>Jakarta Inner</t>
  </si>
  <si>
    <t>ZD5J Kiat Ananda NaragongBekasi</t>
  </si>
  <si>
    <t>ZD5I Dunex Yos Sudarso</t>
  </si>
  <si>
    <t>ZD5H ADW Purwokerto</t>
  </si>
  <si>
    <t>ZD5G DPC Indramayu</t>
  </si>
  <si>
    <t>ZD5F ADW Cirebon</t>
  </si>
  <si>
    <t>ZD5E ADW Garut</t>
  </si>
  <si>
    <t>ZD5D ADW Tasikmalaya</t>
  </si>
  <si>
    <t>ZD5C ADW Sukabumi</t>
  </si>
  <si>
    <t>ZD5B ADW Bandung 3</t>
  </si>
  <si>
    <t>ZD5A ADW Bandung</t>
  </si>
  <si>
    <t>ZD4T ADW Jakarta Utara</t>
  </si>
  <si>
    <t>Jakarta Outer</t>
  </si>
  <si>
    <t>ZD4S DPC Pondok Pinang</t>
  </si>
  <si>
    <t>ZD4R ADW Labuan</t>
  </si>
  <si>
    <t>ZD4Q DPC Tangerang A</t>
  </si>
  <si>
    <t>ZD4P DPC Bogor</t>
  </si>
  <si>
    <t>ZD4O ADW Bekasi</t>
  </si>
  <si>
    <t>ZD4N ADW Depok</t>
  </si>
  <si>
    <t>ZD4M ADW Jakarta Selatan</t>
  </si>
  <si>
    <t>ZD4L DPC Jakarta Pusat A</t>
  </si>
  <si>
    <t>ZD4K ADW Jakarta Pusat</t>
  </si>
  <si>
    <t>ZD4J ADW Serang</t>
  </si>
  <si>
    <t>ZD4I ADW Karawang</t>
  </si>
  <si>
    <t>ZD4H ADW Jakarta Timur A</t>
  </si>
  <si>
    <t>ZD4G ADW Bogor</t>
  </si>
  <si>
    <t>ZD4F DPC Jakarta Timur</t>
  </si>
  <si>
    <t>ZD4E ADW Tangerang</t>
  </si>
  <si>
    <t>ZD4D ADW Jakarta Barat</t>
  </si>
  <si>
    <t>ZD4C DPC Jakarta Utara T</t>
  </si>
  <si>
    <t>ZD4B DC Karawang Lot 41</t>
  </si>
  <si>
    <t>ZD4A DC Karawang Lot 17</t>
  </si>
  <si>
    <t>Sumatra3-4</t>
  </si>
  <si>
    <t>ZD3Q ADW Palembang 2</t>
  </si>
  <si>
    <t>ZD3O DPC Tuba</t>
  </si>
  <si>
    <t>ZD3N DPC Kalianda</t>
  </si>
  <si>
    <t>ZD3M DPC Pringsewu</t>
  </si>
  <si>
    <t>ZD3L ADW Metro</t>
  </si>
  <si>
    <t>ZD3K DPC Lubuk Linggau</t>
  </si>
  <si>
    <t>ZD3J ADW Pangkal Pinang</t>
  </si>
  <si>
    <t>ZD3I ADW Bengkulu</t>
  </si>
  <si>
    <t>ZD3H ADW Muara Bungo</t>
  </si>
  <si>
    <t>ZD3G ADW Jambi</t>
  </si>
  <si>
    <t>ZD3F DPC Batu Raja</t>
  </si>
  <si>
    <t>ZD3E ADW Lahat</t>
  </si>
  <si>
    <t>ZD3D ADW Palembang</t>
  </si>
  <si>
    <t>ZD3C ADW Kota Bumi</t>
  </si>
  <si>
    <t>ZD3B ADW Lampung</t>
  </si>
  <si>
    <t>Sumatra 2</t>
  </si>
  <si>
    <t>ZD2I DPC Tanjung Balai Karimun</t>
  </si>
  <si>
    <t>ZD2H DPC Tanjung Pinang</t>
  </si>
  <si>
    <t>ZD2G ADW Batam</t>
  </si>
  <si>
    <t>ZD2F ADW Air Molek</t>
  </si>
  <si>
    <t>ZD2E ADW Duri</t>
  </si>
  <si>
    <t>ZD2D ADW Pekanbaru</t>
  </si>
  <si>
    <t>ZD2C ADW Bukit Tinggi</t>
  </si>
  <si>
    <t>ZD2B DPC Solok</t>
  </si>
  <si>
    <t>ZD2A ADW Padang</t>
  </si>
  <si>
    <t>Sumatra 1</t>
  </si>
  <si>
    <t>ZD1N ADW Medan 1</t>
  </si>
  <si>
    <t>ZD1M ADW Kisaran</t>
  </si>
  <si>
    <t>ZD1L Depo Medan</t>
  </si>
  <si>
    <t>ZD1K DPC Sibolga</t>
  </si>
  <si>
    <t>ZD1J ADW Padang Sidempuan</t>
  </si>
  <si>
    <t>ZD1I DPC Langsa</t>
  </si>
  <si>
    <t>ZD1H ADW Lhokseumawe</t>
  </si>
  <si>
    <t>ZD1G DPC Meulaboh</t>
  </si>
  <si>
    <t>ZD1F ADW Banda Aceh</t>
  </si>
  <si>
    <t>ZD1E DPC Rantau Prapat</t>
  </si>
  <si>
    <t>ZD1D ADW Pematang Siantar</t>
  </si>
  <si>
    <t>ZD1C DPC Langkat</t>
  </si>
  <si>
    <t>ZD1B ADW Tanah Karo</t>
  </si>
  <si>
    <t>ZD1A ADW Medan 2</t>
  </si>
  <si>
    <t>Indonesia Timur</t>
  </si>
  <si>
    <t>ZD0M ADW Sorong</t>
  </si>
  <si>
    <t>ZD0K ADW Kendari</t>
  </si>
  <si>
    <t>ZD0J DPC Bone</t>
  </si>
  <si>
    <t>ZD0I ADW Papua</t>
  </si>
  <si>
    <t>ZD0H ADW Ternate</t>
  </si>
  <si>
    <t>ZD0G ADW Gorontalo</t>
  </si>
  <si>
    <t>ZD0F ADW Palu</t>
  </si>
  <si>
    <t>ZD0E ADW Ambon</t>
  </si>
  <si>
    <t>ZD0D ADW Manado</t>
  </si>
  <si>
    <t>ZD0C DPC Palopo</t>
  </si>
  <si>
    <t>ZD0B ADW Pare Pare</t>
  </si>
  <si>
    <t>ZD0A ADW Makassar</t>
  </si>
  <si>
    <t>Name</t>
  </si>
  <si>
    <t>Master Regional</t>
  </si>
  <si>
    <t>jan</t>
  </si>
  <si>
    <t>feb</t>
  </si>
  <si>
    <t>mar</t>
  </si>
  <si>
    <t>apr</t>
  </si>
  <si>
    <t>mei</t>
  </si>
  <si>
    <t>jun</t>
  </si>
  <si>
    <t>jul</t>
  </si>
  <si>
    <t>aug</t>
  </si>
  <si>
    <t>sep</t>
  </si>
  <si>
    <t>oct</t>
  </si>
  <si>
    <t>nov</t>
  </si>
  <si>
    <t>dec</t>
  </si>
  <si>
    <t xml:space="preserve">Update By </t>
  </si>
  <si>
    <t>Action</t>
  </si>
  <si>
    <t>$B$11</t>
  </si>
  <si>
    <t>Jumlah Regional</t>
  </si>
  <si>
    <t>MM &amp; YYYY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</si>
</sst>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[$-F800]dddd\,\ mmmm\ dd\,\ yyyy"/>
    <numFmt numFmtId="165" formatCode="[$-F400]h:mm:ss\ AM/PM"/>
    <numFmt numFmtId="166" formatCode="#,##0.000"/>
    <numFmt numFmtId="167" formatCode="_(* #,##0_);_(* \(#,##0\);_(* &quot;-&quot;??_);_(@_)"/>
    <numFmt numFmtId="168" formatCode="m/yyyy"/>
  </numFmts>
  <fonts count="20" x14ac:knownFonts="1">
    <font>
      <sz val="11"/>
      <color theme="1"/>
      <name val="Calibri"/>
      <family val="2"/>
      <scheme val="minor"/>
    </font>
    <font>
      <sz val="11"/>
      <color rgb="FF4C5869"/>
      <name val="Karla"/>
    </font>
    <font>
      <b/>
      <sz val="11"/>
      <color rgb="FF4C5869"/>
      <name val="Karla"/>
    </font>
    <font>
      <sz val="11"/>
      <color rgb="FFFFFFFF"/>
      <name val="Karla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Calibri"/>
      <family val="2"/>
    </font>
    <font>
      <sz val="10"/>
      <name val="Cambria"/>
      <family val="1"/>
    </font>
    <font>
      <sz val="10"/>
      <color rgb="FF000000"/>
      <name val="Cambria"/>
      <family val="1"/>
    </font>
    <font>
      <b/>
      <sz val="10"/>
      <name val="Cambria"/>
      <family val="1"/>
    </font>
    <font>
      <b/>
      <sz val="10"/>
      <name val="Cambria"/>
      <family val="1"/>
      <charset val="204"/>
    </font>
    <font>
      <b/>
      <sz val="12"/>
      <name val="Calibri"/>
      <family val="2"/>
    </font>
    <font>
      <sz val="10"/>
      <color rgb="FFFFFFFF"/>
      <name val="Arial"/>
      <family val="2"/>
    </font>
    <font>
      <sz val="10"/>
      <name val="Arial"/>
      <family val="2"/>
    </font>
    <font>
      <sz val="11"/>
      <color theme="1"/>
      <name val="Karla"/>
    </font>
    <font>
      <sz val="10"/>
      <color rgb="FF4C5869"/>
      <name val="Karla"/>
    </font>
    <font>
      <b/>
      <sz val="10"/>
      <color rgb="FF4C5869"/>
      <name val="Karla"/>
    </font>
    <font>
      <sz val="8"/>
      <name val="Calibri"/>
      <family val="2"/>
      <scheme val="minor"/>
    </font>
    <font>
      <b/>
      <sz val="9"/>
      <color rgb="FF4C5869"/>
      <name val="Karla"/>
    </font>
  </fonts>
  <fills count="12">
    <fill>
      <patternFill patternType="none"/>
    </fill>
    <fill>
      <patternFill patternType="gray125"/>
    </fill>
    <fill>
      <patternFill patternType="solid">
        <fgColor rgb="FFECF0F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3">
    <xf numFmtId="0" fontId="0" fillId="0" borderId="0"/>
    <xf numFmtId="0" fontId="6" fillId="0" borderId="0"/>
    <xf numFmtId="43" fontId="4" fillId="0" borderId="0" applyFont="0" applyFill="0" applyBorder="0" applyAlignment="0" applyProtection="0"/>
  </cellStyleXfs>
  <cellXfs count="91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1" fillId="2" borderId="0" xfId="0" applyFont="1" applyFill="1" applyAlignment="1">
      <alignment horizontal="left"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left" vertical="center"/>
    </xf>
    <xf numFmtId="0" fontId="0" fillId="4" borderId="0" xfId="0" applyFill="1"/>
    <xf numFmtId="0" fontId="1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164" fontId="1" fillId="2" borderId="0" xfId="0" applyNumberFormat="1" applyFont="1" applyFill="1" applyAlignment="1">
      <alignment horizontal="left" vertical="center"/>
    </xf>
    <xf numFmtId="164" fontId="2" fillId="3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center" vertical="center"/>
    </xf>
    <xf numFmtId="0" fontId="2" fillId="3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6" fillId="0" borderId="0" xfId="1" applyAlignment="1">
      <alignment vertical="top"/>
    </xf>
    <xf numFmtId="167" fontId="7" fillId="6" borderId="2" xfId="2" applyNumberFormat="1" applyFont="1" applyFill="1" applyBorder="1" applyAlignment="1">
      <alignment horizontal="center" vertical="center"/>
    </xf>
    <xf numFmtId="0" fontId="0" fillId="0" borderId="3" xfId="0" applyBorder="1"/>
    <xf numFmtId="0" fontId="8" fillId="8" borderId="4" xfId="0" applyFont="1" applyFill="1" applyBorder="1"/>
    <xf numFmtId="0" fontId="9" fillId="0" borderId="4" xfId="0" applyFont="1" applyBorder="1"/>
    <xf numFmtId="0" fontId="8" fillId="0" borderId="4" xfId="0" applyFont="1" applyBorder="1"/>
    <xf numFmtId="0" fontId="10" fillId="8" borderId="4" xfId="0" applyFont="1" applyFill="1" applyBorder="1"/>
    <xf numFmtId="0" fontId="11" fillId="0" borderId="4" xfId="0" applyFont="1" applyBorder="1"/>
    <xf numFmtId="0" fontId="10" fillId="0" borderId="4" xfId="0" applyFont="1" applyBorder="1"/>
    <xf numFmtId="2" fontId="12" fillId="9" borderId="1" xfId="0" applyNumberFormat="1" applyFont="1" applyFill="1" applyBorder="1" applyAlignment="1">
      <alignment horizontal="center" vertical="center"/>
    </xf>
    <xf numFmtId="167" fontId="12" fillId="9" borderId="1" xfId="2" applyNumberFormat="1" applyFont="1" applyFill="1" applyBorder="1" applyAlignment="1">
      <alignment horizontal="center" vertical="center"/>
    </xf>
    <xf numFmtId="0" fontId="6" fillId="4" borderId="1" xfId="1" applyFill="1" applyBorder="1" applyAlignment="1">
      <alignment horizontal="left" vertical="center"/>
    </xf>
    <xf numFmtId="0" fontId="6" fillId="7" borderId="1" xfId="1" applyFill="1" applyBorder="1" applyAlignment="1">
      <alignment horizontal="left" vertical="center"/>
    </xf>
    <xf numFmtId="0" fontId="6" fillId="7" borderId="1" xfId="1" applyFill="1" applyBorder="1" applyAlignment="1">
      <alignment horizontal="left" vertical="center" wrapText="1"/>
    </xf>
    <xf numFmtId="0" fontId="6" fillId="4" borderId="1" xfId="1" applyFill="1" applyBorder="1" applyAlignment="1">
      <alignment horizontal="left" vertical="center" wrapText="1"/>
    </xf>
    <xf numFmtId="0" fontId="6" fillId="4" borderId="0" xfId="1" applyFill="1" applyAlignment="1">
      <alignment horizontal="left" vertical="center"/>
    </xf>
    <xf numFmtId="0" fontId="6" fillId="0" borderId="0" xfId="1" applyAlignment="1">
      <alignment horizontal="left" vertical="center"/>
    </xf>
    <xf numFmtId="14" fontId="6" fillId="0" borderId="0" xfId="1" applyNumberFormat="1" applyAlignment="1">
      <alignment horizontal="left" vertical="center"/>
    </xf>
    <xf numFmtId="165" fontId="6" fillId="0" borderId="0" xfId="1" applyNumberFormat="1" applyAlignment="1">
      <alignment horizontal="left" vertical="center"/>
    </xf>
    <xf numFmtId="3" fontId="6" fillId="5" borderId="0" xfId="1" applyNumberFormat="1" applyFill="1" applyAlignment="1">
      <alignment horizontal="left" vertical="center"/>
    </xf>
    <xf numFmtId="166" fontId="6" fillId="5" borderId="0" xfId="1" applyNumberFormat="1" applyFill="1" applyAlignment="1">
      <alignment horizontal="left" vertical="center"/>
    </xf>
    <xf numFmtId="0" fontId="6" fillId="5" borderId="0" xfId="1" applyFill="1" applyAlignment="1">
      <alignment horizontal="left" vertical="center"/>
    </xf>
    <xf numFmtId="0" fontId="6" fillId="5" borderId="1" xfId="1" applyFill="1" applyBorder="1" applyAlignment="1">
      <alignment horizontal="left" vertical="center"/>
    </xf>
    <xf numFmtId="3" fontId="13" fillId="5" borderId="0" xfId="1" applyNumberFormat="1" applyFont="1" applyFill="1" applyAlignment="1">
      <alignment horizontal="left" vertical="center"/>
    </xf>
    <xf numFmtId="14" fontId="6" fillId="4" borderId="0" xfId="1" applyNumberFormat="1" applyFill="1" applyAlignment="1">
      <alignment horizontal="left" vertical="center"/>
    </xf>
    <xf numFmtId="0" fontId="14" fillId="4" borderId="0" xfId="1" applyFont="1" applyFill="1" applyAlignment="1">
      <alignment horizontal="left" vertical="center" wrapText="1"/>
    </xf>
    <xf numFmtId="0" fontId="1" fillId="2" borderId="0" xfId="0" applyNumberFormat="1" applyFont="1" applyFill="1" applyAlignment="1">
      <alignment horizontal="left" vertical="center"/>
    </xf>
    <xf numFmtId="0" fontId="15" fillId="2" borderId="0" xfId="0" applyFont="1" applyFill="1"/>
    <xf numFmtId="0" fontId="1" fillId="10" borderId="0" xfId="0" applyFont="1" applyFill="1" applyAlignment="1">
      <alignment horizontal="center" vertical="center"/>
    </xf>
    <xf numFmtId="0" fontId="0" fillId="11" borderId="5" xfId="0" applyFill="1" applyBorder="1"/>
    <xf numFmtId="0" fontId="0" fillId="0" borderId="5" xfId="0" applyBorder="1"/>
    <xf numFmtId="0" fontId="2" fillId="3" borderId="0" xfId="1" applyFont="1" applyFill="1" applyBorder="1" applyAlignment="1">
      <alignment horizontal="center" vertical="center"/>
    </xf>
    <xf numFmtId="0" fontId="2" fillId="3" borderId="0" xfId="1" applyFont="1" applyFill="1" applyBorder="1" applyAlignment="1">
      <alignment horizontal="center" vertical="center" wrapText="1"/>
    </xf>
    <xf numFmtId="164" fontId="1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14" fillId="5" borderId="1" xfId="1" applyFont="1" applyFill="1" applyBorder="1" applyAlignment="1">
      <alignment horizontal="left" vertical="center" wrapText="1"/>
    </xf>
    <xf numFmtId="0" fontId="3" fillId="5" borderId="0" xfId="0" applyNumberFormat="1" applyFont="1" applyFill="1" applyAlignment="1">
      <alignment horizontal="center" vertical="center"/>
    </xf>
    <xf numFmtId="14" fontId="1" fillId="2" borderId="0" xfId="0" applyNumberFormat="1" applyFont="1" applyFill="1" applyAlignment="1">
      <alignment horizontal="center" vertical="center"/>
    </xf>
    <xf numFmtId="14" fontId="1" fillId="2" borderId="0" xfId="0" applyNumberFormat="1" applyFont="1" applyFill="1" applyAlignment="1">
      <alignment vertical="center"/>
    </xf>
    <xf numFmtId="0" fontId="16" fillId="0" borderId="0" xfId="1" applyFont="1" applyAlignment="1">
      <alignment horizontal="center" vertical="center"/>
    </xf>
    <xf numFmtId="17" fontId="1" fillId="2" borderId="0" xfId="0" applyNumberFormat="1" applyFont="1" applyFill="1" applyAlignment="1">
      <alignment horizontal="center" vertical="center"/>
    </xf>
    <xf numFmtId="0" fontId="2" fillId="2" borderId="0" xfId="0" applyNumberFormat="1" applyFont="1" applyFill="1" applyAlignment="1">
      <alignment horizontal="left" vertical="center"/>
    </xf>
    <xf numFmtId="0" fontId="16" fillId="6" borderId="0" xfId="1" applyFont="1" applyFill="1" applyAlignment="1">
      <alignment horizontal="center" vertical="center"/>
    </xf>
    <xf numFmtId="0" fontId="16" fillId="2" borderId="0" xfId="0" applyNumberFormat="1" applyFont="1" applyFill="1" applyAlignment="1">
      <alignment horizontal="center" vertical="center"/>
    </xf>
    <xf numFmtId="0" fontId="17" fillId="2" borderId="0" xfId="0" applyNumberFormat="1" applyFont="1" applyFill="1" applyAlignment="1">
      <alignment horizontal="left" vertical="center"/>
    </xf>
    <xf numFmtId="14" fontId="1" fillId="2" borderId="0" xfId="0" applyNumberFormat="1" applyFont="1" applyFill="1" applyAlignment="1">
      <alignment horizontal="center"/>
    </xf>
    <xf numFmtId="14" fontId="2" fillId="3" borderId="0" xfId="1" applyNumberFormat="1" applyFont="1" applyFill="1" applyBorder="1" applyAlignment="1">
      <alignment horizontal="center" vertical="center"/>
    </xf>
    <xf numFmtId="14" fontId="15" fillId="2" borderId="0" xfId="0" applyNumberFormat="1" applyFont="1" applyFill="1"/>
    <xf numFmtId="0" fontId="15" fillId="2" borderId="0" xfId="0" applyFont="1" applyFill="1" applyAlignment="1">
      <alignment horizontal="center" vertical="center"/>
    </xf>
    <xf numFmtId="14" fontId="15" fillId="2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2" borderId="0" xfId="0" applyNumberFormat="1" applyFont="1" applyFill="1" applyAlignment="1">
      <alignment vertical="center"/>
    </xf>
    <xf numFmtId="0" fontId="2" fillId="3" borderId="0" xfId="0" applyNumberFormat="1" applyFont="1" applyFill="1" applyAlignment="1">
      <alignment vertical="center"/>
    </xf>
    <xf numFmtId="0" fontId="2" fillId="3" borderId="0" xfId="0" applyNumberFormat="1" applyFont="1" applyFill="1" applyAlignment="1">
      <alignment horizontal="left" vertical="center"/>
    </xf>
    <xf numFmtId="0" fontId="2" fillId="2" borderId="0" xfId="0" applyNumberFormat="1" applyFont="1" applyFill="1" applyAlignment="1">
      <alignment vertical="center"/>
    </xf>
    <xf numFmtId="14" fontId="2" fillId="3" borderId="0" xfId="0" applyNumberFormat="1" applyFont="1" applyFill="1" applyAlignment="1">
      <alignment horizontal="center" vertical="center"/>
    </xf>
    <xf numFmtId="0" fontId="17" fillId="2" borderId="0" xfId="0" applyNumberFormat="1" applyFont="1" applyFill="1" applyAlignment="1">
      <alignment horizontal="center" vertical="center"/>
    </xf>
    <xf numFmtId="0" fontId="0" fillId="0" borderId="6" xfId="0" applyFont="1" applyFill="1" applyBorder="1"/>
    <xf numFmtId="0" fontId="0" fillId="0" borderId="7" xfId="0" applyFont="1" applyFill="1" applyBorder="1"/>
    <xf numFmtId="168" fontId="1" fillId="6" borderId="0" xfId="0" applyNumberFormat="1" applyFont="1" applyFill="1" applyAlignment="1" applyProtection="1">
      <alignment horizontal="center" vertical="center"/>
      <protection locked="0"/>
    </xf>
    <xf numFmtId="0" fontId="16" fillId="0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  <xf numFmtId="0" fontId="3" fillId="2" borderId="0" xfId="0" applyNumberFormat="1" applyFont="1" applyFill="1" applyAlignment="1" applyProtection="1">
      <alignment horizontal="center" vertical="center"/>
      <protection locked="0"/>
    </xf>
    <xf numFmtId="168" fontId="1" fillId="2" borderId="0" xfId="0" applyNumberFormat="1" applyFont="1" applyFill="1" applyAlignment="1" applyProtection="1">
      <alignment horizontal="center" vertical="center"/>
      <protection locked="0"/>
    </xf>
    <xf numFmtId="0" fontId="16" fillId="2" borderId="0" xfId="0" applyNumberFormat="1" applyFont="1" applyFill="1" applyAlignment="1" applyProtection="1">
      <alignment horizontal="center" vertical="center"/>
      <protection locked="0"/>
    </xf>
    <xf numFmtId="9" fontId="1" fillId="2" borderId="0" xfId="0" applyNumberFormat="1" applyFont="1" applyFill="1" applyAlignment="1">
      <alignment horizontal="center" vertical="center"/>
    </xf>
    <xf numFmtId="9" fontId="1" fillId="2" borderId="0" xfId="0" applyNumberFormat="1" applyFont="1" applyFill="1" applyAlignment="1">
      <alignment horizontal="left" vertical="center"/>
    </xf>
    <xf numFmtId="0" fontId="1" fillId="11" borderId="0" xfId="0" applyFont="1" applyFill="1" applyBorder="1" applyAlignment="1">
      <alignment vertical="center"/>
    </xf>
    <xf numFmtId="0" fontId="1" fillId="0" borderId="0" xfId="0" applyFont="1" applyBorder="1" applyAlignment="1">
      <alignment vertical="center"/>
    </xf>
    <xf numFmtId="0" fontId="19" fillId="2" borderId="0" xfId="0" applyNumberFormat="1" applyFont="1" applyFill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167" fontId="12" fillId="4" borderId="1" xfId="2" applyNumberFormat="1" applyFont="1" applyFill="1" applyBorder="1" applyAlignment="1">
      <alignment horizontal="center" vertical="center"/>
    </xf>
  </cellXfs>
  <cellStyles count="3">
    <cellStyle name="Comma 2 2" xfId="2" xr:uid="{9F026C9E-B2A8-4FDF-A245-7C09A0F2F4AE}"/>
    <cellStyle name="Normal" xfId="0" builtinId="0"/>
    <cellStyle name="Normal 2" xfId="1" xr:uid="{4E8A3A36-982C-404B-B8E7-634F2302A2F8}"/>
  </cellStyles>
  <dxfs count="63">
    <dxf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/>
        <i val="0"/>
        <color theme="0"/>
      </font>
      <fill>
        <patternFill>
          <bgColor theme="1" tint="0.499984740745262"/>
        </patternFill>
      </fill>
    </dxf>
    <dxf>
      <font>
        <color rgb="FF4C5869"/>
      </font>
      <fill>
        <patternFill>
          <bgColor theme="0"/>
        </patternFill>
      </fill>
      <border>
        <vertical/>
        <horizontal/>
      </border>
    </dxf>
    <dxf>
      <font>
        <color rgb="FF4C5869"/>
      </font>
      <fill>
        <patternFill>
          <bgColor theme="0" tint="-4.9989318521683403E-2"/>
        </patternFill>
      </fill>
      <border>
        <vertical/>
        <horizontal/>
      </border>
    </dxf>
    <dxf>
      <font>
        <b/>
        <i val="0"/>
        <color theme="0"/>
      </font>
      <fill>
        <patternFill>
          <bgColor theme="1" tint="0.499984740745262"/>
        </patternFill>
      </fill>
    </dxf>
    <dxf>
      <font>
        <color rgb="FF4C5869"/>
      </font>
      <fill>
        <patternFill>
          <bgColor theme="0"/>
        </patternFill>
      </fill>
      <border>
        <vertical/>
        <horizontal/>
      </border>
    </dxf>
    <dxf>
      <font>
        <color rgb="FF4C5869"/>
      </font>
      <fill>
        <patternFill>
          <bgColor theme="0" tint="-4.9989318521683403E-2"/>
        </patternFill>
      </fill>
      <border>
        <vertical/>
        <horizontal/>
      </border>
    </dxf>
    <dxf>
      <font>
        <b/>
        <i val="0"/>
        <color theme="0"/>
      </font>
      <fill>
        <patternFill>
          <bgColor theme="1" tint="0.499984740745262"/>
        </patternFill>
      </fill>
    </dxf>
    <dxf>
      <font>
        <color rgb="FF4C5869"/>
      </font>
      <fill>
        <patternFill>
          <bgColor theme="0"/>
        </patternFill>
      </fill>
      <border>
        <vertical/>
        <horizontal/>
      </border>
    </dxf>
    <dxf>
      <font>
        <color rgb="FF4C5869"/>
      </font>
      <fill>
        <patternFill>
          <bgColor theme="0" tint="-4.9989318521683403E-2"/>
        </patternFill>
      </fill>
      <border>
        <vertical/>
        <horizontal/>
      </border>
    </dxf>
    <dxf>
      <font>
        <color rgb="FF4C5869"/>
      </font>
      <fill>
        <patternFill>
          <bgColor theme="0"/>
        </patternFill>
      </fill>
      <border>
        <vertical/>
        <horizontal/>
      </border>
    </dxf>
    <dxf>
      <font>
        <color rgb="FF4C5869"/>
      </font>
      <fill>
        <patternFill>
          <bgColor theme="0" tint="-4.9989318521683403E-2"/>
        </patternFill>
      </fill>
      <border>
        <vertical/>
        <horizontal/>
      </border>
    </dxf>
    <dxf>
      <font>
        <b/>
        <i val="0"/>
        <color theme="0"/>
      </font>
      <fill>
        <patternFill>
          <bgColor theme="1" tint="0.499984740745262"/>
        </patternFill>
      </fill>
    </dxf>
    <dxf>
      <font>
        <color rgb="FF4C5869"/>
      </font>
      <fill>
        <patternFill>
          <bgColor theme="0"/>
        </patternFill>
      </fill>
      <border>
        <vertical/>
        <horizontal/>
      </border>
    </dxf>
    <dxf>
      <font>
        <color rgb="FF4C5869"/>
      </font>
      <fill>
        <patternFill>
          <bgColor theme="0" tint="-4.9989318521683403E-2"/>
        </patternFill>
      </fill>
      <border>
        <vertical/>
        <horizontal/>
      </border>
    </dxf>
    <dxf>
      <font>
        <color rgb="FF4C5869"/>
      </font>
      <fill>
        <patternFill>
          <bgColor theme="0"/>
        </patternFill>
      </fill>
      <border>
        <vertical/>
        <horizontal/>
      </border>
    </dxf>
    <dxf>
      <font>
        <color rgb="FF4C5869"/>
      </font>
      <fill>
        <patternFill>
          <bgColor theme="0" tint="-4.9989318521683403E-2"/>
        </patternFill>
      </fill>
      <border>
        <vertical/>
        <horizontal/>
      </border>
    </dxf>
    <dxf>
      <font>
        <b/>
        <i val="0"/>
        <color theme="0"/>
      </font>
      <fill>
        <patternFill>
          <bgColor theme="1" tint="0.499984740745262"/>
        </patternFill>
      </fill>
    </dxf>
    <dxf>
      <fill>
        <patternFill>
          <bgColor theme="0"/>
        </patternFill>
      </fill>
      <border>
        <vertical/>
        <horizontal/>
      </border>
    </dxf>
    <dxf>
      <fill>
        <patternFill>
          <bgColor rgb="FFF2F2F2"/>
        </patternFill>
      </fill>
      <border>
        <vertical/>
        <horizontal/>
      </border>
    </dxf>
    <dxf>
      <font>
        <color rgb="FF4C5869"/>
      </font>
      <fill>
        <patternFill>
          <bgColor theme="0"/>
        </patternFill>
      </fill>
      <border>
        <vertical/>
        <horizontal/>
      </border>
    </dxf>
    <dxf>
      <font>
        <color rgb="FF4C5869"/>
      </font>
      <fill>
        <patternFill>
          <bgColor theme="0" tint="-4.9989318521683403E-2"/>
        </patternFill>
      </fill>
      <border>
        <vertical/>
        <horizontal/>
      </border>
    </dxf>
    <dxf>
      <font>
        <b/>
        <i val="0"/>
        <color theme="0"/>
      </font>
      <fill>
        <patternFill>
          <bgColor theme="1" tint="0.499984740745262"/>
        </patternFill>
      </fill>
    </dxf>
    <dxf>
      <fill>
        <patternFill>
          <bgColor theme="0"/>
        </patternFill>
      </fill>
      <border>
        <vertical/>
        <horizontal/>
      </border>
    </dxf>
    <dxf>
      <fill>
        <patternFill>
          <bgColor rgb="FFF2F2F2"/>
        </patternFill>
      </fill>
      <border>
        <vertical/>
        <horizontal/>
      </border>
    </dxf>
    <dxf>
      <font>
        <color rgb="FF4C5869"/>
      </font>
      <fill>
        <patternFill>
          <bgColor theme="0"/>
        </patternFill>
      </fill>
      <border>
        <vertical/>
        <horizontal/>
      </border>
    </dxf>
    <dxf>
      <font>
        <color rgb="FF4C5869"/>
      </font>
      <fill>
        <patternFill>
          <bgColor theme="0" tint="-4.9989318521683403E-2"/>
        </patternFill>
      </fill>
      <border>
        <vertical/>
        <horizontal/>
      </border>
    </dxf>
    <dxf>
      <fill>
        <patternFill>
          <bgColor theme="0"/>
        </patternFill>
      </fill>
      <border>
        <vertical/>
        <horizontal/>
      </border>
    </dxf>
    <dxf>
      <fill>
        <patternFill>
          <bgColor rgb="FFF2F2F2"/>
        </patternFill>
      </fill>
      <border>
        <vertical/>
        <horizontal/>
      </border>
    </dxf>
    <dxf>
      <font>
        <color rgb="FF4C5869"/>
      </font>
      <fill>
        <patternFill>
          <bgColor theme="0"/>
        </patternFill>
      </fill>
      <border>
        <vertical/>
        <horizontal/>
      </border>
    </dxf>
    <dxf>
      <font>
        <color rgb="FF4C5869"/>
      </font>
      <fill>
        <patternFill>
          <bgColor theme="0" tint="-4.9989318521683403E-2"/>
        </patternFill>
      </fill>
      <border>
        <vertical/>
        <horizontal/>
      </border>
    </dxf>
    <dxf>
      <font>
        <color rgb="FF4C5869"/>
      </font>
      <fill>
        <patternFill>
          <bgColor theme="0"/>
        </patternFill>
      </fill>
      <border>
        <vertical/>
        <horizontal/>
      </border>
    </dxf>
    <dxf>
      <font>
        <color rgb="FF4C5869"/>
      </font>
      <fill>
        <patternFill>
          <bgColor theme="0" tint="-4.9989318521683403E-2"/>
        </patternFill>
      </fill>
      <border>
        <vertical/>
        <horizontal/>
      </border>
    </dxf>
    <dxf>
      <font>
        <color rgb="FF4C5869"/>
      </font>
      <fill>
        <patternFill>
          <bgColor theme="0"/>
        </patternFill>
      </fill>
      <border>
        <vertical/>
        <horizontal/>
      </border>
    </dxf>
    <dxf>
      <font>
        <color rgb="FF4C5869"/>
      </font>
      <fill>
        <patternFill>
          <bgColor theme="0" tint="-4.9989318521683403E-2"/>
        </patternFill>
      </fill>
      <border>
        <vertical/>
        <horizontal/>
      </border>
    </dxf>
    <dxf>
      <fill>
        <patternFill>
          <bgColor theme="0"/>
        </patternFill>
      </fill>
      <border>
        <vertical/>
        <horizontal/>
      </border>
    </dxf>
    <dxf>
      <fill>
        <patternFill>
          <bgColor rgb="FFF2F2F2"/>
        </patternFill>
      </fill>
      <border>
        <vertical/>
        <horizontal/>
      </border>
    </dxf>
    <dxf>
      <font>
        <b/>
        <i val="0"/>
        <color theme="0"/>
      </font>
      <fill>
        <patternFill>
          <bgColor theme="1" tint="0.499984740745262"/>
        </patternFill>
      </fill>
    </dxf>
    <dxf>
      <font>
        <color rgb="FF4C5869"/>
      </font>
      <fill>
        <patternFill>
          <bgColor theme="0"/>
        </patternFill>
      </fill>
      <border>
        <vertical/>
        <horizontal/>
      </border>
    </dxf>
    <dxf>
      <font>
        <color rgb="FF4C5869"/>
      </font>
      <fill>
        <patternFill>
          <bgColor theme="0" tint="-4.9989318521683403E-2"/>
        </patternFill>
      </fill>
      <border>
        <vertical/>
        <horizontal/>
      </border>
    </dxf>
    <dxf>
      <font>
        <b/>
        <i val="0"/>
        <color theme="0"/>
      </font>
      <fill>
        <patternFill>
          <bgColor theme="1" tint="0.499984740745262"/>
        </patternFill>
      </fill>
    </dxf>
    <dxf>
      <font>
        <color rgb="FF4C5869"/>
      </font>
      <fill>
        <patternFill>
          <bgColor theme="0"/>
        </patternFill>
      </fill>
      <border>
        <vertical/>
        <horizontal/>
      </border>
    </dxf>
    <dxf>
      <font>
        <color rgb="FF4C5869"/>
      </font>
      <fill>
        <patternFill>
          <bgColor theme="0" tint="-4.9989318521683403E-2"/>
        </patternFill>
      </fill>
      <border>
        <vertical/>
        <horizontal/>
      </border>
    </dxf>
    <dxf>
      <font>
        <b/>
        <i val="0"/>
        <color theme="0"/>
      </font>
      <fill>
        <patternFill>
          <bgColor theme="1" tint="0.499984740745262"/>
        </patternFill>
      </fill>
    </dxf>
    <dxf>
      <font>
        <color rgb="FF4C5869"/>
      </font>
      <fill>
        <patternFill>
          <bgColor theme="0"/>
        </patternFill>
      </fill>
      <border>
        <vertical/>
        <horizontal/>
      </border>
    </dxf>
    <dxf>
      <font>
        <color rgb="FF4C5869"/>
      </font>
      <fill>
        <patternFill>
          <bgColor theme="0" tint="-4.9989318521683403E-2"/>
        </patternFill>
      </fill>
      <border>
        <vertical/>
        <horizontal/>
      </border>
    </dxf>
    <dxf>
      <font>
        <b/>
        <i val="0"/>
        <color theme="0"/>
      </font>
      <fill>
        <patternFill>
          <bgColor theme="1" tint="0.499984740745262"/>
        </patternFill>
      </fill>
    </dxf>
    <dxf>
      <font>
        <color rgb="FF4C5869"/>
      </font>
      <fill>
        <patternFill>
          <bgColor theme="0"/>
        </patternFill>
      </fill>
      <border>
        <vertical/>
        <horizontal/>
      </border>
    </dxf>
    <dxf>
      <font>
        <color rgb="FF4C5869"/>
      </font>
      <fill>
        <patternFill>
          <bgColor theme="0" tint="-4.9989318521683403E-2"/>
        </patternFill>
      </fill>
      <border>
        <vertical/>
        <horizontal/>
      </border>
    </dxf>
    <dxf>
      <font>
        <b/>
        <i val="0"/>
        <color theme="0"/>
      </font>
      <fill>
        <patternFill>
          <bgColor theme="1" tint="0.499984740745262"/>
        </patternFill>
      </fill>
    </dxf>
    <dxf>
      <font>
        <color rgb="FF4C5869"/>
      </font>
      <fill>
        <patternFill>
          <bgColor theme="0"/>
        </patternFill>
      </fill>
      <border>
        <vertical/>
        <horizontal/>
      </border>
    </dxf>
    <dxf>
      <font>
        <color rgb="FF4C5869"/>
      </font>
      <fill>
        <patternFill>
          <bgColor theme="0" tint="-4.9989318521683403E-2"/>
        </patternFill>
      </fill>
      <border>
        <vertical/>
        <horizontal/>
      </border>
    </dxf>
    <dxf>
      <font>
        <b/>
        <i val="0"/>
        <color theme="0"/>
      </font>
      <fill>
        <patternFill>
          <bgColor theme="1" tint="0.499984740745262"/>
        </patternFill>
      </fill>
    </dxf>
    <dxf>
      <font>
        <color rgb="FF4C5869"/>
      </font>
      <fill>
        <patternFill>
          <bgColor theme="0"/>
        </patternFill>
      </fill>
      <border>
        <vertical/>
        <horizontal/>
      </border>
    </dxf>
    <dxf>
      <font>
        <color rgb="FF4C5869"/>
      </font>
      <fill>
        <patternFill>
          <bgColor theme="0" tint="-4.9989318521683403E-2"/>
        </patternFill>
      </fill>
      <border>
        <vertical/>
        <horizontal/>
      </border>
    </dxf>
    <dxf>
      <font>
        <color rgb="FF4C5869"/>
      </font>
      <fill>
        <patternFill>
          <bgColor theme="0"/>
        </patternFill>
      </fill>
      <border>
        <vertical/>
        <horizontal/>
      </border>
    </dxf>
    <dxf>
      <font>
        <color rgb="FF4C5869"/>
      </font>
      <fill>
        <patternFill>
          <bgColor theme="0" tint="-4.9989318521683403E-2"/>
        </patternFill>
      </fill>
      <border>
        <vertical/>
        <horizontal/>
      </border>
    </dxf>
    <dxf>
      <font>
        <color rgb="FF4C5869"/>
      </font>
      <fill>
        <patternFill>
          <bgColor theme="0"/>
        </patternFill>
      </fill>
      <border>
        <vertical/>
        <horizontal/>
      </border>
    </dxf>
    <dxf>
      <font>
        <color rgb="FF4C5869"/>
      </font>
      <fill>
        <patternFill>
          <bgColor theme="0" tint="-4.9989318521683403E-2"/>
        </patternFill>
      </fill>
      <border>
        <vertical/>
        <horizontal/>
      </border>
    </dxf>
  </dxfs>
  <tableStyles count="0" defaultTableStyle="TableStyleMedium2" defaultPivotStyle="PivotStyleLight16"/>
  <colors>
    <mruColors>
      <color rgb="FF4C5869"/>
      <color rgb="FFECF0F8"/>
      <color rgb="FFFFFFFF"/>
      <color rgb="FFF2F2F2"/>
      <color rgb="FFE0E0E0"/>
      <color rgb="FFE0E2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2.xml"/><Relationship Id="rId18" Type="http://schemas.openxmlformats.org/officeDocument/2006/relationships/styles" Target="styles.xml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8.xml"/><Relationship Id="rId41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1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4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2</xdr:row>
          <xdr:rowOff>295275</xdr:rowOff>
        </xdr:from>
        <xdr:to>
          <xdr:col>5</xdr:col>
          <xdr:colOff>19050</xdr:colOff>
          <xdr:row>4</xdr:row>
          <xdr:rowOff>19050</xdr:rowOff>
        </xdr:to>
        <xdr:sp macro="" textlink="">
          <xdr:nvSpPr>
            <xdr:cNvPr id="29697" name="PID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409575</xdr:colOff>
          <xdr:row>3</xdr:row>
          <xdr:rowOff>19050</xdr:rowOff>
        </xdr:from>
        <xdr:to>
          <xdr:col>8</xdr:col>
          <xdr:colOff>1533525</xdr:colOff>
          <xdr:row>4</xdr:row>
          <xdr:rowOff>47625</xdr:rowOff>
        </xdr:to>
        <xdr:sp macro="" textlink="">
          <xdr:nvSpPr>
            <xdr:cNvPr id="21506" name="CommandButton1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1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476250</xdr:colOff>
          <xdr:row>2</xdr:row>
          <xdr:rowOff>304800</xdr:rowOff>
        </xdr:from>
        <xdr:to>
          <xdr:col>5</xdr:col>
          <xdr:colOff>1638300</xdr:colOff>
          <xdr:row>4</xdr:row>
          <xdr:rowOff>19050</xdr:rowOff>
        </xdr:to>
        <xdr:sp macro="" textlink="">
          <xdr:nvSpPr>
            <xdr:cNvPr id="21507" name="CommandButton2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1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1695450</xdr:colOff>
          <xdr:row>3</xdr:row>
          <xdr:rowOff>19050</xdr:rowOff>
        </xdr:from>
        <xdr:to>
          <xdr:col>9</xdr:col>
          <xdr:colOff>1114425</xdr:colOff>
          <xdr:row>4</xdr:row>
          <xdr:rowOff>38100</xdr:rowOff>
        </xdr:to>
        <xdr:sp macro="" textlink="">
          <xdr:nvSpPr>
            <xdr:cNvPr id="21512" name="Save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1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</xdr:row>
          <xdr:rowOff>19050</xdr:rowOff>
        </xdr:from>
        <xdr:to>
          <xdr:col>10</xdr:col>
          <xdr:colOff>1219200</xdr:colOff>
          <xdr:row>4</xdr:row>
          <xdr:rowOff>28575</xdr:rowOff>
        </xdr:to>
        <xdr:sp macro="" textlink="">
          <xdr:nvSpPr>
            <xdr:cNvPr id="21513" name="closed" hidden="1">
              <a:extLst>
                <a:ext uri="{63B3BB69-23CF-44E3-9099-C40C66FF867C}">
                  <a14:compatExt spid="_x0000_s21513"/>
                </a:ext>
                <a:ext uri="{FF2B5EF4-FFF2-40B4-BE49-F238E27FC236}">
                  <a16:creationId xmlns:a16="http://schemas.microsoft.com/office/drawing/2014/main" id="{00000000-0008-0000-0100-00000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</xdr:row>
          <xdr:rowOff>66675</xdr:rowOff>
        </xdr:from>
        <xdr:to>
          <xdr:col>2</xdr:col>
          <xdr:colOff>304800</xdr:colOff>
          <xdr:row>3</xdr:row>
          <xdr:rowOff>190500</xdr:rowOff>
        </xdr:to>
        <xdr:sp macro="" textlink="">
          <xdr:nvSpPr>
            <xdr:cNvPr id="2054" name="PID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457200</xdr:colOff>
          <xdr:row>2</xdr:row>
          <xdr:rowOff>57150</xdr:rowOff>
        </xdr:from>
        <xdr:to>
          <xdr:col>2</xdr:col>
          <xdr:colOff>1495425</xdr:colOff>
          <xdr:row>3</xdr:row>
          <xdr:rowOff>200025</xdr:rowOff>
        </xdr:to>
        <xdr:sp macro="" textlink="">
          <xdr:nvSpPr>
            <xdr:cNvPr id="2055" name="CommandButton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1628775</xdr:colOff>
          <xdr:row>2</xdr:row>
          <xdr:rowOff>47625</xdr:rowOff>
        </xdr:from>
        <xdr:to>
          <xdr:col>3</xdr:col>
          <xdr:colOff>981075</xdr:colOff>
          <xdr:row>3</xdr:row>
          <xdr:rowOff>209550</xdr:rowOff>
        </xdr:to>
        <xdr:sp macro="" textlink="">
          <xdr:nvSpPr>
            <xdr:cNvPr id="2056" name="CommandButton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276225</xdr:rowOff>
        </xdr:from>
        <xdr:to>
          <xdr:col>2</xdr:col>
          <xdr:colOff>352425</xdr:colOff>
          <xdr:row>4</xdr:row>
          <xdr:rowOff>9525</xdr:rowOff>
        </xdr:to>
        <xdr:sp macro="" textlink="">
          <xdr:nvSpPr>
            <xdr:cNvPr id="27649" name="Refresh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2</xdr:row>
          <xdr:rowOff>276225</xdr:rowOff>
        </xdr:from>
        <xdr:to>
          <xdr:col>2</xdr:col>
          <xdr:colOff>1524000</xdr:colOff>
          <xdr:row>4</xdr:row>
          <xdr:rowOff>9525</xdr:rowOff>
        </xdr:to>
        <xdr:sp macro="" textlink="">
          <xdr:nvSpPr>
            <xdr:cNvPr id="27650" name="CommandButton1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4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2</xdr:row>
          <xdr:rowOff>257175</xdr:rowOff>
        </xdr:from>
        <xdr:to>
          <xdr:col>4</xdr:col>
          <xdr:colOff>466725</xdr:colOff>
          <xdr:row>4</xdr:row>
          <xdr:rowOff>9525</xdr:rowOff>
        </xdr:to>
        <xdr:sp macro="" textlink="">
          <xdr:nvSpPr>
            <xdr:cNvPr id="27651" name="byNasional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4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</xdr:row>
          <xdr:rowOff>66675</xdr:rowOff>
        </xdr:from>
        <xdr:to>
          <xdr:col>2</xdr:col>
          <xdr:colOff>304800</xdr:colOff>
          <xdr:row>3</xdr:row>
          <xdr:rowOff>190500</xdr:rowOff>
        </xdr:to>
        <xdr:sp macro="" textlink="">
          <xdr:nvSpPr>
            <xdr:cNvPr id="28673" name="Refresh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457200</xdr:colOff>
          <xdr:row>2</xdr:row>
          <xdr:rowOff>57150</xdr:rowOff>
        </xdr:from>
        <xdr:to>
          <xdr:col>2</xdr:col>
          <xdr:colOff>1495425</xdr:colOff>
          <xdr:row>3</xdr:row>
          <xdr:rowOff>200025</xdr:rowOff>
        </xdr:to>
        <xdr:sp macro="" textlink="">
          <xdr:nvSpPr>
            <xdr:cNvPr id="28674" name="CommandButton1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5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micloud.sharepoint.com/Users/tmuliyad/AppData/Local/Microsoft/Windows/INetCache/Content.Outlook/HR5N2TW3/insert%20picture.xlsb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microsoft.com/office/2019/04/relationships/externalLinkLongPath" Target="https://pmicloud.sharepoint.com/PMI-ID-HMS-ORG/Operations/SCM/2.6%20Logistics%20&amp;%20Distribution/2.6.3.%20Regional%20Distribution%20Sumatera%20III/2.6.3.8%20RDO%20Sumatera%203/AUDIT%202016/Worksheet%20in%20SOP%20FG%20Area%20Warehouse%20v6_Feedback%20IC2.xls?68205378" TargetMode="External"/><Relationship Id="rId1" Type="http://schemas.openxmlformats.org/officeDocument/2006/relationships/externalLinkPath" Target="file:///\\68205378\Worksheet%20in%20SOP%20FG%20Area%20Warehouse%20v6_Feedback%20IC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kanoteknologi.sharepoint.com/VBA/DFIS/Modul/Temperature%20&amp;%20Humidity%20_%2025-10-2021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VBA/DFIS/Modul/Temperature%20&amp;%20Humidity%20_%2025-10-20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Test1"/>
      <sheetName val="Test2"/>
      <sheetName val="Test3"/>
      <sheetName val="data"/>
      <sheetName val="Dokumentasi Virtual"/>
    </sheetNames>
    <sheetDataSet>
      <sheetData sheetId="0" refreshError="1"/>
      <sheetData sheetId="1" refreshError="1"/>
      <sheetData sheetId="2" refreshError="1"/>
      <sheetData sheetId="3"/>
      <sheetData sheetId="4">
        <row r="2">
          <cell r="F2">
            <v>1000000000</v>
          </cell>
          <cell r="G2">
            <v>1000000</v>
          </cell>
          <cell r="H2">
            <v>1000</v>
          </cell>
        </row>
      </sheetData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General_ Check_list"/>
      <sheetName val="Action Item"/>
      <sheetName val="Checklist_Sumary"/>
    </sheetNames>
    <sheetDataSet>
      <sheetData sheetId="0">
        <row r="2">
          <cell r="B2" t="str">
            <v>Sumatra 1</v>
          </cell>
        </row>
        <row r="3">
          <cell r="B3" t="str">
            <v>Sumatra 2</v>
          </cell>
        </row>
        <row r="4">
          <cell r="B4" t="str">
            <v>Sumatra 3</v>
          </cell>
        </row>
        <row r="5">
          <cell r="B5" t="str">
            <v>Jakarta</v>
          </cell>
        </row>
        <row r="6">
          <cell r="B6" t="str">
            <v>West Java</v>
          </cell>
        </row>
        <row r="7">
          <cell r="B7" t="str">
            <v>Central Java</v>
          </cell>
        </row>
        <row r="8">
          <cell r="B8" t="str">
            <v>East Java</v>
          </cell>
        </row>
        <row r="9">
          <cell r="B9" t="str">
            <v>Bali Nusra</v>
          </cell>
        </row>
        <row r="10">
          <cell r="B10" t="str">
            <v>Kalimantan</v>
          </cell>
        </row>
        <row r="11">
          <cell r="B11" t="str">
            <v>East Indonesia</v>
          </cell>
        </row>
        <row r="12">
          <cell r="B12" t="str">
            <v>Area Operation Jakarta</v>
          </cell>
        </row>
        <row r="13">
          <cell r="B13" t="str">
            <v>Area Operation Surabaya</v>
          </cell>
        </row>
        <row r="14">
          <cell r="B14" t="str">
            <v>Area Operation Pandaan</v>
          </cell>
        </row>
      </sheetData>
      <sheetData sheetId="1"/>
      <sheetData sheetId="2"/>
      <sheetData sheetId="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"/>
      <sheetName val="Data"/>
      <sheetName val="Bulk"/>
      <sheetName val="RedudancyMaster"/>
      <sheetName val="Warehouse"/>
      <sheetName val="Update Master Device"/>
      <sheetName val="Update Master Warehouse"/>
      <sheetName val="MasterWarehouse"/>
      <sheetName val="Master Device Name"/>
      <sheetName val="Temperature &amp; Humidity _ 25-10-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/>
      <sheetData sheetId="6"/>
      <sheetData sheetId="7"/>
      <sheetData sheetId="8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"/>
      <sheetName val="Data"/>
      <sheetName val="Bulk"/>
      <sheetName val="RedudancyMaster"/>
      <sheetName val="Warehouse"/>
      <sheetName val="Update Master Device"/>
      <sheetName val="Update Master Warehouse"/>
      <sheetName val="MasterWarehouse"/>
      <sheetName val="Master Device Name"/>
      <sheetName val="Temperature &amp; Humidity _ 25-10-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>
        <row r="3">
          <cell r="B3" t="str">
            <v>IDEquipmentType</v>
          </cell>
          <cell r="C3" t="str">
            <v>IDLocation</v>
          </cell>
          <cell r="D3" t="str">
            <v>Name</v>
          </cell>
          <cell r="E3" t="str">
            <v>NameLocation</v>
          </cell>
          <cell r="F3" t="str">
            <v>WarehouseName</v>
          </cell>
        </row>
        <row r="4">
          <cell r="B4">
            <v>1772</v>
          </cell>
          <cell r="C4" t="str">
            <v>ZD0A</v>
          </cell>
          <cell r="D4" t="str">
            <v>ZD0A-HThermometer-1</v>
          </cell>
          <cell r="E4" t="str">
            <v>ADW Makassar</v>
          </cell>
          <cell r="F4" t="str">
            <v>ZD0A - ADW Makassar</v>
          </cell>
        </row>
        <row r="5">
          <cell r="B5">
            <v>1773</v>
          </cell>
          <cell r="C5" t="str">
            <v>ZD0A</v>
          </cell>
          <cell r="D5" t="str">
            <v>ZD0A-HThermometer-2</v>
          </cell>
          <cell r="E5" t="str">
            <v>ADW Makassar</v>
          </cell>
          <cell r="F5" t="str">
            <v>ZD0A - ADW Makassar</v>
          </cell>
        </row>
        <row r="6">
          <cell r="B6">
            <v>1774</v>
          </cell>
          <cell r="C6" t="str">
            <v>ZD0B</v>
          </cell>
          <cell r="D6" t="str">
            <v>ZD0B-HThermometer-1</v>
          </cell>
          <cell r="E6" t="str">
            <v>ADW Pare - Pare</v>
          </cell>
          <cell r="F6" t="str">
            <v>ZD0B - ADW Pare - Pare</v>
          </cell>
        </row>
        <row r="7">
          <cell r="B7">
            <v>1775</v>
          </cell>
          <cell r="C7" t="str">
            <v>ZD0B</v>
          </cell>
          <cell r="D7" t="str">
            <v>ZD0B-HThermometer-2</v>
          </cell>
          <cell r="E7" t="str">
            <v>ADW Pare - Pare</v>
          </cell>
          <cell r="F7" t="str">
            <v>ZD0B - ADW Pare - Pare</v>
          </cell>
        </row>
        <row r="8">
          <cell r="B8">
            <v>1776</v>
          </cell>
          <cell r="C8" t="str">
            <v>ZD0C</v>
          </cell>
          <cell r="D8" t="str">
            <v>ZD0C-HThermometer-1</v>
          </cell>
          <cell r="E8" t="str">
            <v>DPC Palopo</v>
          </cell>
          <cell r="F8" t="str">
            <v>ZD0C - DPC Palopo</v>
          </cell>
        </row>
        <row r="9">
          <cell r="B9">
            <v>1777</v>
          </cell>
          <cell r="C9" t="str">
            <v>ZD0D</v>
          </cell>
          <cell r="D9" t="str">
            <v>ZD0D-HThermometer-1</v>
          </cell>
          <cell r="E9" t="str">
            <v>ADW Manado</v>
          </cell>
          <cell r="F9" t="str">
            <v>ZD0D - ADW Manado</v>
          </cell>
        </row>
        <row r="10">
          <cell r="B10">
            <v>1778</v>
          </cell>
          <cell r="C10" t="str">
            <v>ZD0D</v>
          </cell>
          <cell r="D10" t="str">
            <v>ZD0D-HThermometer-2</v>
          </cell>
          <cell r="E10" t="str">
            <v>ADW Manado</v>
          </cell>
          <cell r="F10" t="str">
            <v>ZD0D - ADW Manado</v>
          </cell>
        </row>
        <row r="11">
          <cell r="B11">
            <v>1779</v>
          </cell>
          <cell r="C11" t="str">
            <v>ZD0E</v>
          </cell>
          <cell r="D11" t="str">
            <v>ZD0E-HThermometer-1</v>
          </cell>
          <cell r="E11" t="str">
            <v>ADW Ambon</v>
          </cell>
          <cell r="F11" t="str">
            <v>ZD0E - ADW Ambon</v>
          </cell>
        </row>
        <row r="12">
          <cell r="B12">
            <v>1780</v>
          </cell>
          <cell r="C12" t="str">
            <v>ZD0F</v>
          </cell>
          <cell r="D12" t="str">
            <v>ZD0F-HThermometer-1</v>
          </cell>
          <cell r="E12" t="str">
            <v>ADW Palu</v>
          </cell>
          <cell r="F12" t="str">
            <v>ZD0F - ADW Palu</v>
          </cell>
        </row>
        <row r="13">
          <cell r="B13">
            <v>1781</v>
          </cell>
          <cell r="C13" t="str">
            <v>ZD0F</v>
          </cell>
          <cell r="D13" t="str">
            <v>ZD0F-HThermometer-2</v>
          </cell>
          <cell r="E13" t="str">
            <v>ADW Palu</v>
          </cell>
          <cell r="F13" t="str">
            <v>ZD0F - ADW Palu</v>
          </cell>
        </row>
        <row r="14">
          <cell r="B14">
            <v>1782</v>
          </cell>
          <cell r="C14" t="str">
            <v>ZD0G</v>
          </cell>
          <cell r="D14" t="str">
            <v>ZD0G-HThermometer-1</v>
          </cell>
          <cell r="E14" t="str">
            <v>ADW Gorontalo</v>
          </cell>
          <cell r="F14" t="str">
            <v>ZD0G - ADW Gorontalo</v>
          </cell>
        </row>
        <row r="15">
          <cell r="B15">
            <v>1783</v>
          </cell>
          <cell r="C15" t="str">
            <v>ZD0G</v>
          </cell>
          <cell r="D15" t="str">
            <v>ZD0G-HThermometer-2</v>
          </cell>
          <cell r="E15" t="str">
            <v>ADW Gorontalo</v>
          </cell>
          <cell r="F15" t="str">
            <v>ZD0G - ADW Gorontalo</v>
          </cell>
        </row>
        <row r="16">
          <cell r="B16">
            <v>1784</v>
          </cell>
          <cell r="C16" t="str">
            <v>ZD0H</v>
          </cell>
          <cell r="D16" t="str">
            <v>ZD0H-HThermometer-1</v>
          </cell>
          <cell r="E16" t="str">
            <v>ADW Ternate</v>
          </cell>
          <cell r="F16" t="str">
            <v>ZD0H - ADW Ternate</v>
          </cell>
        </row>
        <row r="17">
          <cell r="B17">
            <v>1785</v>
          </cell>
          <cell r="C17" t="str">
            <v>ZD0H</v>
          </cell>
          <cell r="D17" t="str">
            <v>ZD0H-HThermometer-2</v>
          </cell>
          <cell r="E17" t="str">
            <v>ADW Ternate</v>
          </cell>
          <cell r="F17" t="str">
            <v>ZD0H - ADW Ternate</v>
          </cell>
        </row>
        <row r="18">
          <cell r="B18">
            <v>1786</v>
          </cell>
          <cell r="C18" t="str">
            <v>ZD0J</v>
          </cell>
          <cell r="D18" t="str">
            <v>ZD0J-HThermometer-1</v>
          </cell>
          <cell r="E18" t="str">
            <v>DPC Bone</v>
          </cell>
          <cell r="F18" t="str">
            <v>ZD0J - DPC Bone</v>
          </cell>
        </row>
        <row r="19">
          <cell r="B19">
            <v>1787</v>
          </cell>
          <cell r="C19" t="str">
            <v>ZD1A</v>
          </cell>
          <cell r="D19" t="str">
            <v>ZD1A-HThermometer-1</v>
          </cell>
          <cell r="E19" t="str">
            <v>ADW Medan 2</v>
          </cell>
          <cell r="F19" t="str">
            <v>ZD1A - ADW Medan 2</v>
          </cell>
        </row>
        <row r="20">
          <cell r="B20">
            <v>1788</v>
          </cell>
          <cell r="C20" t="str">
            <v>ZD1B</v>
          </cell>
          <cell r="D20" t="str">
            <v>ZD1B-HThermometer-1</v>
          </cell>
          <cell r="E20" t="str">
            <v>ADW Tanah Karo</v>
          </cell>
          <cell r="F20" t="str">
            <v>ZD1B - ADW Tanah Karo</v>
          </cell>
        </row>
        <row r="21">
          <cell r="B21">
            <v>1789</v>
          </cell>
          <cell r="C21" t="str">
            <v>ZD1C</v>
          </cell>
          <cell r="D21" t="str">
            <v>ZD1C-HThermometer-1</v>
          </cell>
          <cell r="E21" t="str">
            <v>DPC Langkat</v>
          </cell>
          <cell r="F21" t="str">
            <v>ZD1C - DPC Langkat</v>
          </cell>
        </row>
        <row r="22">
          <cell r="B22">
            <v>1790</v>
          </cell>
          <cell r="C22" t="str">
            <v>ZD1D</v>
          </cell>
          <cell r="D22" t="str">
            <v>ZD1D-HThermometer-1</v>
          </cell>
          <cell r="E22" t="str">
            <v>ADW Pematang Siantar</v>
          </cell>
          <cell r="F22" t="str">
            <v>ZD1D - ADW Pematang Siantar</v>
          </cell>
        </row>
        <row r="23">
          <cell r="B23">
            <v>1791</v>
          </cell>
          <cell r="C23" t="str">
            <v>ZD1E</v>
          </cell>
          <cell r="D23" t="str">
            <v>ZD1E-HThermometer-1</v>
          </cell>
          <cell r="E23" t="str">
            <v>DPC Rantau Prapat</v>
          </cell>
          <cell r="F23" t="str">
            <v>ZD1E - DPC Rantau Prapat</v>
          </cell>
        </row>
        <row r="24">
          <cell r="B24">
            <v>1792</v>
          </cell>
          <cell r="C24" t="str">
            <v>ZD1F</v>
          </cell>
          <cell r="D24" t="str">
            <v>ZD1F-HThermometer-1</v>
          </cell>
          <cell r="E24" t="str">
            <v>ADW Banda Aceh</v>
          </cell>
          <cell r="F24" t="str">
            <v>ZD1F - ADW Banda Aceh</v>
          </cell>
        </row>
        <row r="25">
          <cell r="B25">
            <v>1793</v>
          </cell>
          <cell r="C25" t="str">
            <v>ZD1G</v>
          </cell>
          <cell r="D25" t="str">
            <v>ZD1G-HThermometer-1</v>
          </cell>
          <cell r="E25" t="str">
            <v>DPC Meulaboh</v>
          </cell>
          <cell r="F25" t="str">
            <v>ZD1G - DPC Meulaboh</v>
          </cell>
        </row>
        <row r="26">
          <cell r="B26">
            <v>1794</v>
          </cell>
          <cell r="C26" t="str">
            <v>ZD1H</v>
          </cell>
          <cell r="D26" t="str">
            <v>ZD1H-HThermometer-1</v>
          </cell>
          <cell r="E26" t="str">
            <v>ADW Lhokseumawe</v>
          </cell>
          <cell r="F26" t="str">
            <v>ZD1H - ADW Lhokseumawe</v>
          </cell>
        </row>
        <row r="27">
          <cell r="B27">
            <v>1795</v>
          </cell>
          <cell r="C27" t="str">
            <v>ZD1I</v>
          </cell>
          <cell r="D27" t="str">
            <v>ZD1I-HThermometer-1</v>
          </cell>
          <cell r="E27" t="str">
            <v>DPC Langsa</v>
          </cell>
          <cell r="F27" t="str">
            <v>ZD1I - DPC Langsa</v>
          </cell>
        </row>
        <row r="28">
          <cell r="B28">
            <v>1796</v>
          </cell>
          <cell r="C28" t="str">
            <v>ZD1J</v>
          </cell>
          <cell r="D28" t="str">
            <v>ZD1J-HThermometer-1</v>
          </cell>
          <cell r="E28" t="str">
            <v>ADW Padang Sidempuan</v>
          </cell>
          <cell r="F28" t="str">
            <v>ZD1J - ADW Padang Sidempuan</v>
          </cell>
        </row>
        <row r="29">
          <cell r="B29">
            <v>1797</v>
          </cell>
          <cell r="C29" t="str">
            <v>ZD1K</v>
          </cell>
          <cell r="D29" t="str">
            <v>ZD1K-HThermometer-1</v>
          </cell>
          <cell r="E29" t="str">
            <v>DPC Sibolga</v>
          </cell>
          <cell r="F29" t="str">
            <v>ZD1K - DPC Sibolga</v>
          </cell>
        </row>
        <row r="30">
          <cell r="B30">
            <v>1798</v>
          </cell>
          <cell r="C30" t="str">
            <v>ZD1L</v>
          </cell>
          <cell r="D30" t="str">
            <v>ZD1L-HThermometer-1</v>
          </cell>
          <cell r="E30" t="str">
            <v>Depo Medan</v>
          </cell>
          <cell r="F30" t="str">
            <v>ZD1L - Depo Medan</v>
          </cell>
        </row>
        <row r="31">
          <cell r="B31">
            <v>1799</v>
          </cell>
          <cell r="C31" t="str">
            <v>ZD1M</v>
          </cell>
          <cell r="D31" t="str">
            <v>ZD1M-HThermometer-1</v>
          </cell>
          <cell r="E31" t="str">
            <v>ADW Kisaran</v>
          </cell>
          <cell r="F31" t="str">
            <v>ZD1M - ADW Kisaran</v>
          </cell>
        </row>
        <row r="32">
          <cell r="B32">
            <v>1801</v>
          </cell>
          <cell r="C32" t="str">
            <v>ZD1N</v>
          </cell>
          <cell r="D32" t="str">
            <v>ZD1N-HThermometer-1</v>
          </cell>
          <cell r="E32" t="str">
            <v>ADW Medan 1</v>
          </cell>
          <cell r="F32" t="str">
            <v>ZD1N - ADW Medan 1</v>
          </cell>
        </row>
        <row r="33">
          <cell r="B33">
            <v>1802</v>
          </cell>
          <cell r="C33" t="str">
            <v>ZD2A</v>
          </cell>
          <cell r="D33" t="str">
            <v>ZD2A-HThermometer-1</v>
          </cell>
          <cell r="E33" t="str">
            <v>ADW Padang</v>
          </cell>
          <cell r="F33" t="str">
            <v>ZD2A - ADW Padang</v>
          </cell>
        </row>
        <row r="34">
          <cell r="B34">
            <v>1803</v>
          </cell>
          <cell r="C34" t="str">
            <v>ZD2A</v>
          </cell>
          <cell r="D34" t="str">
            <v>ZD2A-HThermometer-2</v>
          </cell>
          <cell r="E34" t="str">
            <v>ADW Padang</v>
          </cell>
          <cell r="F34" t="str">
            <v>ZD2A - ADW Padang</v>
          </cell>
        </row>
        <row r="35">
          <cell r="B35">
            <v>1804</v>
          </cell>
          <cell r="C35" t="str">
            <v>ZD2B</v>
          </cell>
          <cell r="D35" t="str">
            <v>ZD2B-HThermometer-1</v>
          </cell>
          <cell r="E35" t="str">
            <v>DPC Solok</v>
          </cell>
          <cell r="F35" t="str">
            <v>ZD2B - DPC Solok</v>
          </cell>
        </row>
        <row r="36">
          <cell r="B36">
            <v>1805</v>
          </cell>
          <cell r="C36" t="str">
            <v>ZD2B</v>
          </cell>
          <cell r="D36" t="str">
            <v>ZD2B-HThermometer-2</v>
          </cell>
          <cell r="E36" t="str">
            <v>DPC Solok</v>
          </cell>
          <cell r="F36" t="str">
            <v>ZD2B - DPC Solok</v>
          </cell>
        </row>
        <row r="37">
          <cell r="B37">
            <v>1806</v>
          </cell>
          <cell r="C37" t="str">
            <v>ZD2C</v>
          </cell>
          <cell r="D37" t="str">
            <v>ZD2C-HThermometer-1</v>
          </cell>
          <cell r="E37" t="str">
            <v>ADW Bukit Tinggi</v>
          </cell>
          <cell r="F37" t="str">
            <v>ZD2C - ADW Bukit Tinggi</v>
          </cell>
        </row>
        <row r="38">
          <cell r="B38">
            <v>1807</v>
          </cell>
          <cell r="C38" t="str">
            <v>ZD2C</v>
          </cell>
          <cell r="D38" t="str">
            <v>ZD2C-HThermometer-2</v>
          </cell>
          <cell r="E38" t="str">
            <v>ADW Bukit Tinggi</v>
          </cell>
          <cell r="F38" t="str">
            <v>ZD2C - ADW Bukit Tinggi</v>
          </cell>
        </row>
        <row r="39">
          <cell r="B39">
            <v>1808</v>
          </cell>
          <cell r="C39" t="str">
            <v>ZD2D</v>
          </cell>
          <cell r="D39" t="str">
            <v>ZD2D-HThermometer-1</v>
          </cell>
          <cell r="E39" t="str">
            <v>ADW Pekanbaru</v>
          </cell>
          <cell r="F39" t="str">
            <v>ZD2D - ADW Pekanbaru</v>
          </cell>
        </row>
        <row r="40">
          <cell r="B40">
            <v>1809</v>
          </cell>
          <cell r="C40" t="str">
            <v>ZD2D</v>
          </cell>
          <cell r="D40" t="str">
            <v>ZD2D-HThermometer-2</v>
          </cell>
          <cell r="E40" t="str">
            <v>ADW Pekanbaru</v>
          </cell>
          <cell r="F40" t="str">
            <v>ZD2D - ADW Pekanbaru</v>
          </cell>
        </row>
        <row r="41">
          <cell r="B41">
            <v>1810</v>
          </cell>
          <cell r="C41" t="str">
            <v>ZD2E</v>
          </cell>
          <cell r="D41" t="str">
            <v>ZD2E-HThermometer-1</v>
          </cell>
          <cell r="E41" t="str">
            <v>ADW Duri</v>
          </cell>
          <cell r="F41" t="str">
            <v>ZD2E - ADW Duri</v>
          </cell>
        </row>
        <row r="42">
          <cell r="B42">
            <v>1811</v>
          </cell>
          <cell r="C42" t="str">
            <v>ZD2E</v>
          </cell>
          <cell r="D42" t="str">
            <v>ZD2E-HThermometer-2</v>
          </cell>
          <cell r="E42" t="str">
            <v>ADW Duri</v>
          </cell>
          <cell r="F42" t="str">
            <v>ZD2E - ADW Duri</v>
          </cell>
        </row>
        <row r="43">
          <cell r="B43">
            <v>1812</v>
          </cell>
          <cell r="C43" t="str">
            <v>ZD2F</v>
          </cell>
          <cell r="D43" t="str">
            <v>ZD2F-HThermometer-1</v>
          </cell>
          <cell r="E43" t="str">
            <v>ADW Air Molek</v>
          </cell>
          <cell r="F43" t="str">
            <v>ZD2F - ADW Air Molek</v>
          </cell>
        </row>
        <row r="44">
          <cell r="B44">
            <v>1813</v>
          </cell>
          <cell r="C44" t="str">
            <v>ZD2F</v>
          </cell>
          <cell r="D44" t="str">
            <v>ZD2F-HThermometer-2</v>
          </cell>
          <cell r="E44" t="str">
            <v>ADW Air Molek</v>
          </cell>
          <cell r="F44" t="str">
            <v>ZD2F - ADW Air Molek</v>
          </cell>
        </row>
        <row r="45">
          <cell r="B45">
            <v>1814</v>
          </cell>
          <cell r="C45" t="str">
            <v>ZD2G</v>
          </cell>
          <cell r="D45" t="str">
            <v>ZD2G-HThermometer-1</v>
          </cell>
          <cell r="E45" t="str">
            <v>ADW Batam</v>
          </cell>
          <cell r="F45" t="str">
            <v>ZD2G - ADW Batam</v>
          </cell>
        </row>
        <row r="46">
          <cell r="B46">
            <v>1815</v>
          </cell>
          <cell r="C46" t="str">
            <v>ZD2G</v>
          </cell>
          <cell r="D46" t="str">
            <v>ZD2G-HThermometer-2</v>
          </cell>
          <cell r="E46" t="str">
            <v>ADW Batam</v>
          </cell>
          <cell r="F46" t="str">
            <v>ZD2G - ADW Batam</v>
          </cell>
        </row>
        <row r="47">
          <cell r="B47">
            <v>1816</v>
          </cell>
          <cell r="C47" t="str">
            <v>ZD3B</v>
          </cell>
          <cell r="D47" t="str">
            <v>ZD3B-HThermometer-1</v>
          </cell>
          <cell r="E47" t="str">
            <v>ADW Lampung</v>
          </cell>
          <cell r="F47" t="str">
            <v>ZD3B - ADW Lampung</v>
          </cell>
        </row>
        <row r="48">
          <cell r="B48">
            <v>1817</v>
          </cell>
          <cell r="C48" t="str">
            <v>ZD3B</v>
          </cell>
          <cell r="D48" t="str">
            <v>ZD3B-HThermometer-2</v>
          </cell>
          <cell r="E48" t="str">
            <v>ADW Lampung</v>
          </cell>
          <cell r="F48" t="str">
            <v>ZD3B - ADW Lampung</v>
          </cell>
        </row>
        <row r="49">
          <cell r="B49">
            <v>1818</v>
          </cell>
          <cell r="C49" t="str">
            <v>ZD3C</v>
          </cell>
          <cell r="D49" t="str">
            <v>ZD3C-HThermometer-1</v>
          </cell>
          <cell r="E49" t="str">
            <v>ADW Kota Bumi</v>
          </cell>
          <cell r="F49" t="str">
            <v>ZD3C - ADW Kota Bumi</v>
          </cell>
        </row>
        <row r="50">
          <cell r="B50">
            <v>1819</v>
          </cell>
          <cell r="C50" t="str">
            <v>ZD3D</v>
          </cell>
          <cell r="D50" t="str">
            <v>ZD3D-HThermometer-1</v>
          </cell>
          <cell r="E50" t="str">
            <v>ADW Palembang</v>
          </cell>
          <cell r="F50" t="str">
            <v>ZD3D - ADW Palembang</v>
          </cell>
        </row>
        <row r="51">
          <cell r="B51">
            <v>1820</v>
          </cell>
          <cell r="C51" t="str">
            <v>ZD3D</v>
          </cell>
          <cell r="D51" t="str">
            <v>ZD3D-HThermometer-2</v>
          </cell>
          <cell r="E51" t="str">
            <v>ADW Palembang</v>
          </cell>
          <cell r="F51" t="str">
            <v>ZD3D - ADW Palembang</v>
          </cell>
        </row>
        <row r="52">
          <cell r="B52">
            <v>1821</v>
          </cell>
          <cell r="C52" t="str">
            <v>ZD3D</v>
          </cell>
          <cell r="D52" t="str">
            <v>ZD3D-HThermometer-3</v>
          </cell>
          <cell r="E52" t="str">
            <v>ADW Palembang</v>
          </cell>
          <cell r="F52" t="str">
            <v>ZD3D - ADW Palembang</v>
          </cell>
        </row>
        <row r="53">
          <cell r="B53">
            <v>1822</v>
          </cell>
          <cell r="C53" t="str">
            <v>ZD3D</v>
          </cell>
          <cell r="D53" t="str">
            <v>ZD3D-HThermometer-4</v>
          </cell>
          <cell r="E53" t="str">
            <v>ADW Palembang</v>
          </cell>
          <cell r="F53" t="str">
            <v>ZD3D - ADW Palembang</v>
          </cell>
        </row>
        <row r="54">
          <cell r="B54">
            <v>1823</v>
          </cell>
          <cell r="C54" t="str">
            <v>ZD3E</v>
          </cell>
          <cell r="D54" t="str">
            <v>ZD3E-HThermometer-1</v>
          </cell>
          <cell r="E54" t="str">
            <v>ADW Lahat</v>
          </cell>
          <cell r="F54" t="str">
            <v>ZD3E - ADW Lahat</v>
          </cell>
        </row>
        <row r="55">
          <cell r="B55">
            <v>1824</v>
          </cell>
          <cell r="C55" t="str">
            <v>ZD3E</v>
          </cell>
          <cell r="D55" t="str">
            <v>ZD3E-HThermometer-2</v>
          </cell>
          <cell r="E55" t="str">
            <v>ADW Lahat</v>
          </cell>
          <cell r="F55" t="str">
            <v>ZD3E - ADW Lahat</v>
          </cell>
        </row>
        <row r="56">
          <cell r="B56">
            <v>1825</v>
          </cell>
          <cell r="C56" t="str">
            <v>ZD3F</v>
          </cell>
          <cell r="D56" t="str">
            <v>ZD3F-HThermometer-1</v>
          </cell>
          <cell r="E56" t="str">
            <v>DPC Batu Raja</v>
          </cell>
          <cell r="F56" t="str">
            <v>ZD3F - DPC Batu Raja</v>
          </cell>
        </row>
        <row r="57">
          <cell r="B57">
            <v>1826</v>
          </cell>
          <cell r="C57" t="str">
            <v>ZD3F</v>
          </cell>
          <cell r="D57" t="str">
            <v>ZD3F-HThermometer-2</v>
          </cell>
          <cell r="E57" t="str">
            <v>DPC Batu Raja</v>
          </cell>
          <cell r="F57" t="str">
            <v>ZD3F - DPC Batu Raja</v>
          </cell>
        </row>
        <row r="58">
          <cell r="B58">
            <v>1827</v>
          </cell>
          <cell r="C58" t="str">
            <v>ZD3G</v>
          </cell>
          <cell r="D58" t="str">
            <v>ZD3G-HThermometer-1</v>
          </cell>
          <cell r="E58" t="str">
            <v>ADW Jambi</v>
          </cell>
          <cell r="F58" t="str">
            <v>ZD3G - ADW Jambi</v>
          </cell>
        </row>
        <row r="59">
          <cell r="B59">
            <v>1828</v>
          </cell>
          <cell r="C59" t="str">
            <v>ZD3G</v>
          </cell>
          <cell r="D59" t="str">
            <v>ZD3G-HThermometer-2</v>
          </cell>
          <cell r="E59" t="str">
            <v>ADW Jambi</v>
          </cell>
          <cell r="F59" t="str">
            <v>ZD3G - ADW Jambi</v>
          </cell>
        </row>
        <row r="60">
          <cell r="B60">
            <v>1829</v>
          </cell>
          <cell r="C60" t="str">
            <v>ZD3H</v>
          </cell>
          <cell r="D60" t="str">
            <v>ZD3H-HThermometer-1</v>
          </cell>
          <cell r="E60" t="str">
            <v>ADW Muara Bungo</v>
          </cell>
          <cell r="F60" t="str">
            <v>ZD3H - ADW Muara Bungo</v>
          </cell>
        </row>
        <row r="61">
          <cell r="B61">
            <v>1830</v>
          </cell>
          <cell r="C61" t="str">
            <v>ZD3I</v>
          </cell>
          <cell r="D61" t="str">
            <v>ZD3I-HThermometer-1</v>
          </cell>
          <cell r="E61" t="str">
            <v>ADW Bengkulu</v>
          </cell>
          <cell r="F61" t="str">
            <v>ZD3I - ADW Bengkulu</v>
          </cell>
        </row>
        <row r="62">
          <cell r="B62">
            <v>1831</v>
          </cell>
          <cell r="C62" t="str">
            <v>ZD3K</v>
          </cell>
          <cell r="D62" t="str">
            <v>ZD3K-HThermometer-1</v>
          </cell>
          <cell r="E62" t="str">
            <v>DPC Lubuk Linggau</v>
          </cell>
          <cell r="F62" t="str">
            <v>ZD3K - DPC Lubuk Linggau</v>
          </cell>
        </row>
        <row r="63">
          <cell r="B63">
            <v>1832</v>
          </cell>
          <cell r="C63" t="str">
            <v>ZD3L</v>
          </cell>
          <cell r="D63" t="str">
            <v>ZD3L-HThermometer-1</v>
          </cell>
          <cell r="E63" t="str">
            <v>ADW Metro</v>
          </cell>
          <cell r="F63" t="str">
            <v>ZD3L - ADW Metro</v>
          </cell>
        </row>
        <row r="64">
          <cell r="B64">
            <v>1833</v>
          </cell>
          <cell r="C64" t="str">
            <v>ZD3L</v>
          </cell>
          <cell r="D64" t="str">
            <v>ZD3L-HThermometer-2</v>
          </cell>
          <cell r="E64" t="str">
            <v>ADW Metro</v>
          </cell>
          <cell r="F64" t="str">
            <v>ZD3L - ADW Metro</v>
          </cell>
        </row>
        <row r="65">
          <cell r="B65">
            <v>1834</v>
          </cell>
          <cell r="C65" t="str">
            <v>ZD3L</v>
          </cell>
          <cell r="D65" t="str">
            <v>ZD3L-HThermometer-3</v>
          </cell>
          <cell r="E65" t="str">
            <v>ADW Metro</v>
          </cell>
          <cell r="F65" t="str">
            <v>ZD3L - ADW Metro</v>
          </cell>
        </row>
        <row r="66">
          <cell r="B66">
            <v>1835</v>
          </cell>
          <cell r="C66" t="str">
            <v>ZD3M</v>
          </cell>
          <cell r="D66" t="str">
            <v>ZD3M-HThermometer-1</v>
          </cell>
          <cell r="E66" t="str">
            <v>DPC Pringsewu</v>
          </cell>
          <cell r="F66" t="str">
            <v>ZD3M - DPC Pringsewu</v>
          </cell>
        </row>
        <row r="67">
          <cell r="B67">
            <v>1836</v>
          </cell>
          <cell r="C67" t="str">
            <v>ZD3N</v>
          </cell>
          <cell r="D67" t="str">
            <v>ZD3N-HThermometer-1</v>
          </cell>
          <cell r="E67" t="str">
            <v>DPC Kalianda</v>
          </cell>
          <cell r="F67" t="str">
            <v>ZD3N - DPC Kalianda</v>
          </cell>
        </row>
        <row r="68">
          <cell r="B68">
            <v>1837</v>
          </cell>
          <cell r="C68" t="str">
            <v>ZD3N</v>
          </cell>
          <cell r="D68" t="str">
            <v>ZD3N-HThermometer-2</v>
          </cell>
          <cell r="E68" t="str">
            <v>DPC Kalianda</v>
          </cell>
          <cell r="F68" t="str">
            <v>ZD3N - DPC Kalianda</v>
          </cell>
        </row>
        <row r="69">
          <cell r="B69">
            <v>1838</v>
          </cell>
          <cell r="C69" t="str">
            <v>ZD3O</v>
          </cell>
          <cell r="D69" t="str">
            <v>ZD3O-HThermometer-1</v>
          </cell>
          <cell r="E69" t="str">
            <v>DPC Tuba</v>
          </cell>
          <cell r="F69" t="str">
            <v>ZD3O - DPC Tuba</v>
          </cell>
        </row>
        <row r="70">
          <cell r="B70">
            <v>1839</v>
          </cell>
          <cell r="C70" t="str">
            <v>ZD3O</v>
          </cell>
          <cell r="D70" t="str">
            <v>ZD3O-HThermometer-2</v>
          </cell>
          <cell r="E70" t="str">
            <v>DPC Tuba</v>
          </cell>
          <cell r="F70" t="str">
            <v>ZD3O - DPC Tuba</v>
          </cell>
        </row>
        <row r="71">
          <cell r="B71">
            <v>1840</v>
          </cell>
          <cell r="C71" t="str">
            <v>ZD3Q</v>
          </cell>
          <cell r="D71" t="str">
            <v>ZD3Q-HThermometer-1</v>
          </cell>
          <cell r="E71" t="str">
            <v>ADW Palembang 2</v>
          </cell>
          <cell r="F71" t="str">
            <v>ZD3Q - ADW Palembang 2</v>
          </cell>
        </row>
        <row r="72">
          <cell r="B72">
            <v>1841</v>
          </cell>
          <cell r="C72" t="str">
            <v>ZD4A</v>
          </cell>
          <cell r="D72" t="str">
            <v>ZD4A-HThermometer-1</v>
          </cell>
          <cell r="E72" t="str">
            <v>DC Karawang Lot. 17</v>
          </cell>
          <cell r="F72" t="str">
            <v>ZD4A - DC Karawang Lot. 17</v>
          </cell>
        </row>
        <row r="73">
          <cell r="B73">
            <v>1842</v>
          </cell>
          <cell r="C73" t="str">
            <v>ZD4A</v>
          </cell>
          <cell r="D73" t="str">
            <v>ZD4A-HThermometer-2</v>
          </cell>
          <cell r="E73" t="str">
            <v>DC Karawang Lot. 17</v>
          </cell>
          <cell r="F73" t="str">
            <v>ZD4A - DC Karawang Lot. 17</v>
          </cell>
        </row>
        <row r="74">
          <cell r="B74">
            <v>1843</v>
          </cell>
          <cell r="C74" t="str">
            <v>ZD4A</v>
          </cell>
          <cell r="D74" t="str">
            <v>ZD4A-HThermometer-3</v>
          </cell>
          <cell r="E74" t="str">
            <v>DC Karawang Lot. 17</v>
          </cell>
          <cell r="F74" t="str">
            <v>ZD4A - DC Karawang Lot. 17</v>
          </cell>
        </row>
        <row r="75">
          <cell r="B75">
            <v>1844</v>
          </cell>
          <cell r="C75" t="str">
            <v>ZD4B</v>
          </cell>
          <cell r="D75" t="str">
            <v>ZD4B-HThermometer-1</v>
          </cell>
          <cell r="E75" t="str">
            <v>DC Karawang Lot. 41</v>
          </cell>
          <cell r="F75" t="str">
            <v>ZD4B - DC Karawang Lot. 41</v>
          </cell>
        </row>
        <row r="76">
          <cell r="B76">
            <v>1845</v>
          </cell>
          <cell r="C76" t="str">
            <v>ZD4B</v>
          </cell>
          <cell r="D76" t="str">
            <v>ZD4B-HThermometer-2</v>
          </cell>
          <cell r="E76" t="str">
            <v>DC Karawang Lot. 41</v>
          </cell>
          <cell r="F76" t="str">
            <v>ZD4B - DC Karawang Lot. 41</v>
          </cell>
        </row>
        <row r="77">
          <cell r="B77">
            <v>1846</v>
          </cell>
          <cell r="C77" t="str">
            <v>ZD4B</v>
          </cell>
          <cell r="D77" t="str">
            <v>ZD4B-HThermometer-3</v>
          </cell>
          <cell r="E77" t="str">
            <v>DC Karawang Lot. 41</v>
          </cell>
          <cell r="F77" t="str">
            <v>ZD4B - DC Karawang Lot. 41</v>
          </cell>
        </row>
        <row r="78">
          <cell r="B78">
            <v>1847</v>
          </cell>
          <cell r="C78" t="str">
            <v>ZD4B</v>
          </cell>
          <cell r="D78" t="str">
            <v>ZD4B-HThermometer-4</v>
          </cell>
          <cell r="E78" t="str">
            <v>DC Karawang Lot. 41</v>
          </cell>
          <cell r="F78" t="str">
            <v>ZD4B - DC Karawang Lot. 41</v>
          </cell>
        </row>
        <row r="79">
          <cell r="B79">
            <v>1848</v>
          </cell>
          <cell r="C79" t="str">
            <v>ZD4B</v>
          </cell>
          <cell r="D79" t="str">
            <v>ZD4B-HThermometer-5</v>
          </cell>
          <cell r="E79" t="str">
            <v>DC Karawang Lot. 41</v>
          </cell>
          <cell r="F79" t="str">
            <v>ZD4B - DC Karawang Lot. 41</v>
          </cell>
        </row>
        <row r="80">
          <cell r="B80">
            <v>1850</v>
          </cell>
          <cell r="C80" t="str">
            <v>ZD4T</v>
          </cell>
          <cell r="D80" t="str">
            <v>ZD4T-HThermometer-1</v>
          </cell>
          <cell r="E80" t="str">
            <v>ADW Jakarta Utara</v>
          </cell>
          <cell r="F80" t="str">
            <v>ZD4T - ADW Jakarta Utara</v>
          </cell>
        </row>
        <row r="81">
          <cell r="B81">
            <v>1851</v>
          </cell>
          <cell r="C81" t="str">
            <v>ZD4D</v>
          </cell>
          <cell r="D81" t="str">
            <v>ZD4D-HThermometer-1</v>
          </cell>
          <cell r="E81" t="str">
            <v>ADW Jakarta Barat</v>
          </cell>
          <cell r="F81" t="str">
            <v>ZD4D - ADW Jakarta Barat</v>
          </cell>
        </row>
        <row r="82">
          <cell r="B82">
            <v>1852</v>
          </cell>
          <cell r="C82" t="str">
            <v>ZD4E</v>
          </cell>
          <cell r="D82" t="str">
            <v>ZD4E-HThermometer-1</v>
          </cell>
          <cell r="E82" t="str">
            <v>ADW Tangerang</v>
          </cell>
          <cell r="F82" t="str">
            <v>ZD4E - ADW Tangerang</v>
          </cell>
        </row>
        <row r="83">
          <cell r="B83">
            <v>1853</v>
          </cell>
          <cell r="C83" t="str">
            <v>ZD4E</v>
          </cell>
          <cell r="D83" t="str">
            <v>ZD4E-HThermometer-2</v>
          </cell>
          <cell r="E83" t="str">
            <v>ADW Tangerang</v>
          </cell>
          <cell r="F83" t="str">
            <v>ZD4E - ADW Tangerang</v>
          </cell>
        </row>
        <row r="84">
          <cell r="B84">
            <v>1854</v>
          </cell>
          <cell r="C84" t="str">
            <v>ZD4F</v>
          </cell>
          <cell r="D84" t="str">
            <v>ZD4F-HThermometer-1</v>
          </cell>
          <cell r="E84" t="str">
            <v>DPC Jakarta Timur</v>
          </cell>
          <cell r="F84" t="str">
            <v>ZD4F - DPC Jakarta Timur</v>
          </cell>
        </row>
        <row r="85">
          <cell r="B85">
            <v>1855</v>
          </cell>
          <cell r="C85" t="str">
            <v>ZD4G</v>
          </cell>
          <cell r="D85" t="str">
            <v>ZD4G-HThermometer-1</v>
          </cell>
          <cell r="E85" t="str">
            <v>ADW Bogor</v>
          </cell>
          <cell r="F85" t="str">
            <v>ZD4G - ADW Bogor</v>
          </cell>
        </row>
        <row r="86">
          <cell r="B86">
            <v>1856</v>
          </cell>
          <cell r="C86" t="str">
            <v>ZD4G</v>
          </cell>
          <cell r="D86" t="str">
            <v>ZD4G-HThermometer-2</v>
          </cell>
          <cell r="E86" t="str">
            <v>ADW Bogor</v>
          </cell>
          <cell r="F86" t="str">
            <v>ZD4G - ADW Bogor</v>
          </cell>
        </row>
        <row r="87">
          <cell r="B87">
            <v>1857</v>
          </cell>
          <cell r="C87" t="str">
            <v>ZD4H</v>
          </cell>
          <cell r="D87" t="str">
            <v>ZD4H-HThermometer-1</v>
          </cell>
          <cell r="E87" t="str">
            <v>ADW Jakarta Timur A</v>
          </cell>
          <cell r="F87" t="str">
            <v>ZD4H - ADW Jakarta Timur A</v>
          </cell>
        </row>
        <row r="88">
          <cell r="B88">
            <v>1858</v>
          </cell>
          <cell r="C88" t="str">
            <v>ZD4I</v>
          </cell>
          <cell r="D88" t="str">
            <v>ZD4I-HThermometer-1</v>
          </cell>
          <cell r="E88" t="str">
            <v>ADW Karawang</v>
          </cell>
          <cell r="F88" t="str">
            <v>ZD4I - ADW Karawang</v>
          </cell>
        </row>
        <row r="89">
          <cell r="B89">
            <v>1859</v>
          </cell>
          <cell r="C89" t="str">
            <v>ZD4I</v>
          </cell>
          <cell r="D89" t="str">
            <v>ZD4I-HThermometer-2</v>
          </cell>
          <cell r="E89" t="str">
            <v>ADW Karawang</v>
          </cell>
          <cell r="F89" t="str">
            <v>ZD4I - ADW Karawang</v>
          </cell>
        </row>
        <row r="90">
          <cell r="B90">
            <v>1860</v>
          </cell>
          <cell r="C90" t="str">
            <v>ZD4J</v>
          </cell>
          <cell r="D90" t="str">
            <v>ZD4J-HThermometer-1</v>
          </cell>
          <cell r="E90" t="str">
            <v>ADW Serang</v>
          </cell>
          <cell r="F90" t="str">
            <v>ZD4J - ADW Serang</v>
          </cell>
        </row>
        <row r="91">
          <cell r="B91">
            <v>1861</v>
          </cell>
          <cell r="C91" t="str">
            <v>ZD4K</v>
          </cell>
          <cell r="D91" t="str">
            <v>ZD4K-HThermometer-1</v>
          </cell>
          <cell r="E91" t="str">
            <v>ADW Jakarta Pusat</v>
          </cell>
          <cell r="F91" t="str">
            <v>ZD4K - ADW Jakarta Pusat</v>
          </cell>
        </row>
        <row r="92">
          <cell r="B92">
            <v>1862</v>
          </cell>
          <cell r="C92" t="str">
            <v>ZD4L</v>
          </cell>
          <cell r="D92" t="str">
            <v>ZD4L-HThermometer-1</v>
          </cell>
          <cell r="E92" t="str">
            <v>DPC Jakarta Pusat A</v>
          </cell>
          <cell r="F92" t="str">
            <v>ZD4L - DPC Jakarta Pusat A</v>
          </cell>
        </row>
        <row r="93">
          <cell r="B93">
            <v>1863</v>
          </cell>
          <cell r="C93" t="str">
            <v>ZD4M</v>
          </cell>
          <cell r="D93" t="str">
            <v>ZD4M-HThermometer-1</v>
          </cell>
          <cell r="E93" t="str">
            <v>ADW Jakarta Selatan</v>
          </cell>
          <cell r="F93" t="str">
            <v>ZD4M - ADW Jakarta Selatan</v>
          </cell>
        </row>
        <row r="94">
          <cell r="B94">
            <v>1864</v>
          </cell>
          <cell r="C94" t="str">
            <v>ZD4N</v>
          </cell>
          <cell r="D94" t="str">
            <v>ZD4N-HThermometer-1</v>
          </cell>
          <cell r="E94" t="str">
            <v>ADW Depok</v>
          </cell>
          <cell r="F94" t="str">
            <v>ZD4N - ADW Depok</v>
          </cell>
        </row>
        <row r="95">
          <cell r="B95">
            <v>1865</v>
          </cell>
          <cell r="C95" t="str">
            <v>ZD4O</v>
          </cell>
          <cell r="D95" t="str">
            <v>ZD4O-HThermometer-1</v>
          </cell>
          <cell r="E95" t="str">
            <v>ADW Bekasi</v>
          </cell>
          <cell r="F95" t="str">
            <v>ZD4O - ADW Bekasi</v>
          </cell>
        </row>
        <row r="96">
          <cell r="B96">
            <v>1866</v>
          </cell>
          <cell r="C96" t="str">
            <v>ZD4O</v>
          </cell>
          <cell r="D96" t="str">
            <v>ZD4O-HThermometer-2</v>
          </cell>
          <cell r="E96" t="str">
            <v>ADW Bekasi</v>
          </cell>
          <cell r="F96" t="str">
            <v>ZD4O - ADW Bekasi</v>
          </cell>
        </row>
        <row r="97">
          <cell r="B97">
            <v>1867</v>
          </cell>
          <cell r="C97" t="str">
            <v>ZD4P</v>
          </cell>
          <cell r="D97" t="str">
            <v>ZD4P-HThermometer-1</v>
          </cell>
          <cell r="E97" t="str">
            <v>DPC Bogor</v>
          </cell>
          <cell r="F97" t="str">
            <v>ZD4P - DPC Bogor</v>
          </cell>
        </row>
        <row r="98">
          <cell r="B98">
            <v>1868</v>
          </cell>
          <cell r="C98" t="str">
            <v>ZD4Q</v>
          </cell>
          <cell r="D98" t="str">
            <v>ZD4Q-HThermometer-1</v>
          </cell>
          <cell r="E98" t="str">
            <v>DPC Tangerang A</v>
          </cell>
          <cell r="F98" t="str">
            <v>ZD4Q - DPC Tangerang A</v>
          </cell>
        </row>
        <row r="99">
          <cell r="B99">
            <v>1869</v>
          </cell>
          <cell r="C99" t="str">
            <v>ZD4R</v>
          </cell>
          <cell r="D99" t="str">
            <v>ZD4R-HThermometer-1</v>
          </cell>
          <cell r="E99" t="str">
            <v>ADW Labuan</v>
          </cell>
          <cell r="F99" t="str">
            <v>ZD4R - ADW Labuan</v>
          </cell>
        </row>
        <row r="100">
          <cell r="B100">
            <v>1870</v>
          </cell>
          <cell r="C100" t="str">
            <v>ZD4R</v>
          </cell>
          <cell r="D100" t="str">
            <v>ZD4R-HThermometer-2</v>
          </cell>
          <cell r="E100" t="str">
            <v>ADW Labuan</v>
          </cell>
          <cell r="F100" t="str">
            <v>ZD4R - ADW Labuan</v>
          </cell>
        </row>
        <row r="101">
          <cell r="B101">
            <v>1871</v>
          </cell>
          <cell r="C101" t="str">
            <v>ZD5A</v>
          </cell>
          <cell r="D101" t="str">
            <v>ZD5A-HThermometer-1</v>
          </cell>
          <cell r="E101" t="str">
            <v>ADW Bandung</v>
          </cell>
          <cell r="F101" t="str">
            <v>ZD5A - ADW Bandung</v>
          </cell>
        </row>
        <row r="102">
          <cell r="B102">
            <v>1872</v>
          </cell>
          <cell r="C102" t="str">
            <v>ZD5A</v>
          </cell>
          <cell r="D102" t="str">
            <v>ZD5A-HThermometer-2</v>
          </cell>
          <cell r="E102" t="str">
            <v>ADW Bandung</v>
          </cell>
          <cell r="F102" t="str">
            <v>ZD5A - ADW Bandung</v>
          </cell>
        </row>
        <row r="103">
          <cell r="B103">
            <v>1873</v>
          </cell>
          <cell r="C103" t="str">
            <v>ZD5B</v>
          </cell>
          <cell r="D103" t="str">
            <v>ZD5B-HThermometer-1</v>
          </cell>
          <cell r="E103" t="str">
            <v>ADW Bandung 3</v>
          </cell>
          <cell r="F103" t="str">
            <v>ZD5B - ADW Bandung 3</v>
          </cell>
        </row>
        <row r="104">
          <cell r="B104">
            <v>1874</v>
          </cell>
          <cell r="C104" t="str">
            <v>ZD5B</v>
          </cell>
          <cell r="D104" t="str">
            <v>ZD5B-HThermometer-2</v>
          </cell>
          <cell r="E104" t="str">
            <v>ADW Bandung 3</v>
          </cell>
          <cell r="F104" t="str">
            <v>ZD5B - ADW Bandung 3</v>
          </cell>
        </row>
        <row r="105">
          <cell r="B105">
            <v>1875</v>
          </cell>
          <cell r="C105" t="str">
            <v>ZD5C</v>
          </cell>
          <cell r="D105" t="str">
            <v>ZD5C-HThermometer-1</v>
          </cell>
          <cell r="E105" t="str">
            <v>ADW Sukabumi</v>
          </cell>
          <cell r="F105" t="str">
            <v>ZD5C - ADW Sukabumi</v>
          </cell>
        </row>
        <row r="106">
          <cell r="B106">
            <v>1876</v>
          </cell>
          <cell r="C106" t="str">
            <v>ZD5C</v>
          </cell>
          <cell r="D106" t="str">
            <v>ZD5C-HThermometer-2</v>
          </cell>
          <cell r="E106" t="str">
            <v>ADW Sukabumi</v>
          </cell>
          <cell r="F106" t="str">
            <v>ZD5C - ADW Sukabumi</v>
          </cell>
        </row>
        <row r="107">
          <cell r="B107">
            <v>1877</v>
          </cell>
          <cell r="C107" t="str">
            <v>ZD5D</v>
          </cell>
          <cell r="D107" t="str">
            <v>ZD5D-HThermometer-1</v>
          </cell>
          <cell r="E107" t="str">
            <v>ADW Tasikmalaya</v>
          </cell>
          <cell r="F107" t="str">
            <v>ZD5D - ADW Tasikmalaya</v>
          </cell>
        </row>
        <row r="108">
          <cell r="B108">
            <v>1878</v>
          </cell>
          <cell r="C108" t="str">
            <v>ZD5D</v>
          </cell>
          <cell r="D108" t="str">
            <v>ZD5D-HThermometer-2</v>
          </cell>
          <cell r="E108" t="str">
            <v>ADW Tasikmalaya</v>
          </cell>
          <cell r="F108" t="str">
            <v>ZD5D - ADW Tasikmalaya</v>
          </cell>
        </row>
        <row r="109">
          <cell r="B109">
            <v>1879</v>
          </cell>
          <cell r="C109" t="str">
            <v>ZD5E</v>
          </cell>
          <cell r="D109" t="str">
            <v>ZD5E-HThermometer-1</v>
          </cell>
          <cell r="E109" t="str">
            <v>ADW Garut</v>
          </cell>
          <cell r="F109" t="str">
            <v>ZD5E - ADW Garut</v>
          </cell>
        </row>
        <row r="110">
          <cell r="B110">
            <v>1880</v>
          </cell>
          <cell r="C110" t="str">
            <v>ZD5F</v>
          </cell>
          <cell r="D110" t="str">
            <v>ZD5F-HThermometer-1</v>
          </cell>
          <cell r="E110" t="str">
            <v>ADW Cirebon</v>
          </cell>
          <cell r="F110" t="str">
            <v>ZD5F - ADW Cirebon</v>
          </cell>
        </row>
        <row r="111">
          <cell r="B111">
            <v>1881</v>
          </cell>
          <cell r="C111" t="str">
            <v>ZD5G</v>
          </cell>
          <cell r="D111" t="str">
            <v>ZD5G-HThermometer-1</v>
          </cell>
          <cell r="E111" t="str">
            <v>DPC Indramayu</v>
          </cell>
          <cell r="F111" t="str">
            <v>ZD5G - DPC Indramayu</v>
          </cell>
        </row>
        <row r="112">
          <cell r="B112">
            <v>1882</v>
          </cell>
          <cell r="C112" t="str">
            <v>ZD5H</v>
          </cell>
          <cell r="D112" t="str">
            <v>ZD5H-HThermometer-1</v>
          </cell>
          <cell r="E112" t="str">
            <v>ADW Purwokerto</v>
          </cell>
          <cell r="F112" t="str">
            <v>ZD5H - ADW Purwokerto</v>
          </cell>
        </row>
        <row r="113">
          <cell r="B113">
            <v>1883</v>
          </cell>
          <cell r="C113" t="str">
            <v>ZD5H</v>
          </cell>
          <cell r="D113" t="str">
            <v>ZD5H-HThermometer-2</v>
          </cell>
          <cell r="E113" t="str">
            <v>ADW Purwokerto</v>
          </cell>
          <cell r="F113" t="str">
            <v>ZD5H - ADW Purwokerto</v>
          </cell>
        </row>
        <row r="114">
          <cell r="B114">
            <v>1884</v>
          </cell>
          <cell r="C114" t="str">
            <v>ZD5I</v>
          </cell>
          <cell r="D114" t="str">
            <v>ZD5I-HThermometer-1</v>
          </cell>
          <cell r="E114" t="str">
            <v>Dunex - Yos Sudarso</v>
          </cell>
          <cell r="F114" t="str">
            <v>ZD5I - Dunex - Yos Sudarso</v>
          </cell>
        </row>
        <row r="115">
          <cell r="B115">
            <v>1885</v>
          </cell>
          <cell r="C115" t="str">
            <v>ZD5J</v>
          </cell>
          <cell r="D115" t="str">
            <v>ZD5J-HThermometer-1</v>
          </cell>
          <cell r="E115" t="str">
            <v>Kiat Ananda (Naragong-Bekasi)</v>
          </cell>
          <cell r="F115" t="str">
            <v>ZD5J - Kiat Ananda (Naragong-Bekasi)</v>
          </cell>
        </row>
        <row r="116">
          <cell r="B116">
            <v>1886</v>
          </cell>
          <cell r="C116" t="str">
            <v>ZD5K</v>
          </cell>
          <cell r="D116" t="str">
            <v>ZD5K-HThermometer-1</v>
          </cell>
          <cell r="E116" t="str">
            <v>DPC Cianjur</v>
          </cell>
          <cell r="F116" t="str">
            <v>ZD5K - DPC Cianjur</v>
          </cell>
        </row>
        <row r="117">
          <cell r="B117">
            <v>1887</v>
          </cell>
          <cell r="C117" t="str">
            <v>ZD5M</v>
          </cell>
          <cell r="D117" t="str">
            <v>ZD5M-HThermometer-1</v>
          </cell>
          <cell r="E117" t="str">
            <v>DPC Sumedang</v>
          </cell>
          <cell r="F117" t="str">
            <v>ZD5M - DPC Sumedang</v>
          </cell>
        </row>
        <row r="118">
          <cell r="B118">
            <v>1888</v>
          </cell>
          <cell r="C118" t="str">
            <v>ZD5M</v>
          </cell>
          <cell r="D118" t="str">
            <v>ZD5M-HThermometer-2</v>
          </cell>
          <cell r="E118" t="str">
            <v>DPC Sumedang</v>
          </cell>
          <cell r="F118" t="str">
            <v>ZD5M - DPC Sumedang</v>
          </cell>
        </row>
        <row r="119">
          <cell r="B119">
            <v>1889</v>
          </cell>
          <cell r="C119" t="str">
            <v>ZD6B</v>
          </cell>
          <cell r="D119" t="str">
            <v>ZD6B-HThermometer-1</v>
          </cell>
          <cell r="E119" t="str">
            <v>ADW Semarang</v>
          </cell>
          <cell r="F119" t="str">
            <v>ZD6B - ADW Semarang</v>
          </cell>
        </row>
        <row r="120">
          <cell r="B120">
            <v>1890</v>
          </cell>
          <cell r="C120" t="str">
            <v>ZD6C</v>
          </cell>
          <cell r="D120" t="str">
            <v>ZD6C-HThermometer-1</v>
          </cell>
          <cell r="E120" t="str">
            <v>ADW Tegal</v>
          </cell>
          <cell r="F120" t="str">
            <v>ZD6C - ADW Tegal</v>
          </cell>
        </row>
        <row r="121">
          <cell r="B121">
            <v>1891</v>
          </cell>
          <cell r="C121" t="str">
            <v>ZD6D</v>
          </cell>
          <cell r="D121" t="str">
            <v>ZD6D-HThermometer-1</v>
          </cell>
          <cell r="E121" t="str">
            <v>DPC Pekalongan</v>
          </cell>
          <cell r="F121" t="str">
            <v>ZD6D - DPC Pekalongan</v>
          </cell>
        </row>
        <row r="122">
          <cell r="B122">
            <v>1892</v>
          </cell>
          <cell r="C122" t="str">
            <v>ZD6E</v>
          </cell>
          <cell r="D122" t="str">
            <v>ZD6E-HThermometer-1</v>
          </cell>
          <cell r="E122" t="str">
            <v>ADW Pati</v>
          </cell>
          <cell r="F122" t="str">
            <v>ZD6E - ADW Pati</v>
          </cell>
        </row>
        <row r="123">
          <cell r="B123">
            <v>1893</v>
          </cell>
          <cell r="C123" t="str">
            <v>ZD6F</v>
          </cell>
          <cell r="D123" t="str">
            <v>ZD6F-HThermometer-1</v>
          </cell>
          <cell r="E123" t="str">
            <v>ADW Yogyakarta</v>
          </cell>
          <cell r="F123" t="str">
            <v>ZD6F - ADW Yogyakarta</v>
          </cell>
        </row>
        <row r="124">
          <cell r="B124">
            <v>1894</v>
          </cell>
          <cell r="C124" t="str">
            <v>ZD6F</v>
          </cell>
          <cell r="D124" t="str">
            <v>ZD6F-HThermometer-2</v>
          </cell>
          <cell r="E124" t="str">
            <v>ADW Yogyakarta</v>
          </cell>
          <cell r="F124" t="str">
            <v>ZD6F - ADW Yogyakarta</v>
          </cell>
        </row>
        <row r="125">
          <cell r="B125">
            <v>1895</v>
          </cell>
          <cell r="C125" t="str">
            <v>ZD6G</v>
          </cell>
          <cell r="D125" t="str">
            <v>ZD6G-HThermometer-1</v>
          </cell>
          <cell r="E125" t="str">
            <v>ADW Magelang</v>
          </cell>
          <cell r="F125" t="str">
            <v>ZD6G - ADW Magelang</v>
          </cell>
        </row>
        <row r="126">
          <cell r="B126">
            <v>1896</v>
          </cell>
          <cell r="C126" t="str">
            <v>ZD6H</v>
          </cell>
          <cell r="D126" t="str">
            <v>ZD6H-HThermometer-1</v>
          </cell>
          <cell r="E126" t="str">
            <v>ADW Surakarta</v>
          </cell>
          <cell r="F126" t="str">
            <v>ZD6H - ADW Surakarta</v>
          </cell>
        </row>
        <row r="127">
          <cell r="B127">
            <v>1897</v>
          </cell>
          <cell r="C127" t="str">
            <v>ZD6I</v>
          </cell>
          <cell r="D127" t="str">
            <v>ZD6I-HThermometer-1</v>
          </cell>
          <cell r="E127" t="str">
            <v>ADW Madiun</v>
          </cell>
          <cell r="F127" t="str">
            <v>ZD6I - ADW Madiun</v>
          </cell>
        </row>
        <row r="128">
          <cell r="B128">
            <v>1898</v>
          </cell>
          <cell r="C128" t="str">
            <v>ZD6J</v>
          </cell>
          <cell r="D128" t="str">
            <v>ZD6J-HThermometer-1</v>
          </cell>
          <cell r="E128" t="str">
            <v>ADW Salatiga</v>
          </cell>
          <cell r="F128" t="str">
            <v>ZD6J - ADW Salatiga</v>
          </cell>
        </row>
        <row r="129">
          <cell r="B129">
            <v>1899</v>
          </cell>
          <cell r="C129" t="str">
            <v>ZD6K</v>
          </cell>
          <cell r="D129" t="str">
            <v>ZD6K-HThermometer-1</v>
          </cell>
          <cell r="E129" t="str">
            <v>DPC Cilacap</v>
          </cell>
          <cell r="F129" t="str">
            <v>ZD6K - DPC Cilacap</v>
          </cell>
        </row>
        <row r="130">
          <cell r="B130">
            <v>1900</v>
          </cell>
          <cell r="C130" t="str">
            <v>ZD7B</v>
          </cell>
          <cell r="D130" t="str">
            <v>ZD7B-HThermometer-1</v>
          </cell>
          <cell r="E130" t="str">
            <v>ADW Surabaya</v>
          </cell>
          <cell r="F130" t="str">
            <v>ZD7B - ADW Surabaya</v>
          </cell>
        </row>
        <row r="131">
          <cell r="B131">
            <v>1901</v>
          </cell>
          <cell r="C131" t="str">
            <v>ZD7B</v>
          </cell>
          <cell r="D131" t="str">
            <v>ZD7B-HThermometer-2</v>
          </cell>
          <cell r="E131" t="str">
            <v>ADW Surabaya</v>
          </cell>
          <cell r="F131" t="str">
            <v>ZD7B - ADW Surabaya</v>
          </cell>
        </row>
        <row r="132">
          <cell r="B132">
            <v>1902</v>
          </cell>
          <cell r="C132" t="str">
            <v>ZD7C</v>
          </cell>
          <cell r="D132" t="str">
            <v>ZD7C-HThermometer-1</v>
          </cell>
          <cell r="E132" t="str">
            <v>ADW Tuban</v>
          </cell>
          <cell r="F132" t="str">
            <v>ZD7C - ADW Tuban</v>
          </cell>
        </row>
        <row r="133">
          <cell r="B133">
            <v>1903</v>
          </cell>
          <cell r="C133" t="str">
            <v>ZD7D</v>
          </cell>
          <cell r="D133" t="str">
            <v>ZD7D-HThermometer-1</v>
          </cell>
          <cell r="E133" t="str">
            <v>ADW Malang</v>
          </cell>
          <cell r="F133" t="str">
            <v>ZD7D - ADW Malang</v>
          </cell>
        </row>
        <row r="134">
          <cell r="B134">
            <v>1904</v>
          </cell>
          <cell r="C134" t="str">
            <v>ZD7D</v>
          </cell>
          <cell r="D134" t="str">
            <v>ZD7D-HThermometer-2</v>
          </cell>
          <cell r="E134" t="str">
            <v>ADW Malang</v>
          </cell>
          <cell r="F134" t="str">
            <v>ZD7D - ADW Malang</v>
          </cell>
        </row>
        <row r="135">
          <cell r="B135">
            <v>1905</v>
          </cell>
          <cell r="C135" t="str">
            <v>ZD7E</v>
          </cell>
          <cell r="D135" t="str">
            <v>ZD7E-HThermometer-1</v>
          </cell>
          <cell r="E135" t="str">
            <v>ADW Kediri</v>
          </cell>
          <cell r="F135" t="str">
            <v>ZD7E - ADW Kediri</v>
          </cell>
        </row>
        <row r="136">
          <cell r="B136">
            <v>1906</v>
          </cell>
          <cell r="C136" t="str">
            <v>ZD7F</v>
          </cell>
          <cell r="D136" t="str">
            <v>ZD7F-HThermometer-1</v>
          </cell>
          <cell r="E136" t="str">
            <v>ADW Pamekasan</v>
          </cell>
          <cell r="F136" t="str">
            <v>ZD7F - ADW Pamekasan</v>
          </cell>
        </row>
        <row r="137">
          <cell r="B137">
            <v>1907</v>
          </cell>
          <cell r="C137" t="str">
            <v>ZD7G</v>
          </cell>
          <cell r="D137" t="str">
            <v>ZD7G-HThermometer-1</v>
          </cell>
          <cell r="E137" t="str">
            <v>ADW Jember</v>
          </cell>
          <cell r="F137" t="str">
            <v>ZD7G - ADW Jember</v>
          </cell>
        </row>
        <row r="138">
          <cell r="B138">
            <v>1908</v>
          </cell>
          <cell r="C138" t="str">
            <v>ZD7H</v>
          </cell>
          <cell r="D138" t="str">
            <v>ZD7H-HThermometer-1</v>
          </cell>
          <cell r="E138" t="str">
            <v>DPC Banyuwangi</v>
          </cell>
          <cell r="F138" t="str">
            <v>ZD7H - DPC Banyuwangi</v>
          </cell>
        </row>
        <row r="139">
          <cell r="B139">
            <v>1909</v>
          </cell>
          <cell r="C139" t="str">
            <v>ZD7I</v>
          </cell>
          <cell r="D139" t="str">
            <v>ZD7I-HThermometer-1</v>
          </cell>
          <cell r="E139" t="str">
            <v>ADW Probolinggo</v>
          </cell>
          <cell r="F139" t="str">
            <v>ZD7I - ADW Probolinggo</v>
          </cell>
        </row>
        <row r="140">
          <cell r="B140">
            <v>1910</v>
          </cell>
          <cell r="C140" t="str">
            <v>ZD7J</v>
          </cell>
          <cell r="D140" t="str">
            <v>ZD7J-HThermometer-1</v>
          </cell>
          <cell r="E140" t="str">
            <v>DC Sukorejo</v>
          </cell>
          <cell r="F140" t="str">
            <v>ZD7J - DC Sukorejo</v>
          </cell>
        </row>
        <row r="141">
          <cell r="B141">
            <v>1911</v>
          </cell>
          <cell r="C141" t="str">
            <v>ZD7J</v>
          </cell>
          <cell r="D141" t="str">
            <v>ZD7J-HThermometer-2</v>
          </cell>
          <cell r="E141" t="str">
            <v>DC Sukorejo</v>
          </cell>
          <cell r="F141" t="str">
            <v>ZD7J - DC Sukorejo</v>
          </cell>
        </row>
        <row r="142">
          <cell r="B142">
            <v>1912</v>
          </cell>
          <cell r="C142" t="str">
            <v>ZD7J</v>
          </cell>
          <cell r="D142" t="str">
            <v>ZD7J-HThermometer-3</v>
          </cell>
          <cell r="E142" t="str">
            <v>DC Sukorejo</v>
          </cell>
          <cell r="F142" t="str">
            <v>ZD7J - DC Sukorejo</v>
          </cell>
        </row>
        <row r="143">
          <cell r="B143">
            <v>1913</v>
          </cell>
          <cell r="C143" t="str">
            <v>ZD7J</v>
          </cell>
          <cell r="D143" t="str">
            <v>ZD7J-HThermometer-4</v>
          </cell>
          <cell r="E143" t="str">
            <v>DC Sukorejo</v>
          </cell>
          <cell r="F143" t="str">
            <v>ZD7J - DC Sukorejo</v>
          </cell>
        </row>
        <row r="144">
          <cell r="B144">
            <v>1914</v>
          </cell>
          <cell r="C144" t="str">
            <v>ZD7L</v>
          </cell>
          <cell r="D144" t="str">
            <v>ZD7L-HThermometer-1</v>
          </cell>
          <cell r="E144" t="str">
            <v>ADW Gresik</v>
          </cell>
          <cell r="F144" t="str">
            <v>ZD7L - ADW Gresik</v>
          </cell>
        </row>
        <row r="145">
          <cell r="B145">
            <v>1915</v>
          </cell>
          <cell r="C145" t="str">
            <v>ZD7M</v>
          </cell>
          <cell r="D145" t="str">
            <v>ZD7M-HThermometer-1</v>
          </cell>
          <cell r="E145" t="str">
            <v>ADW Mojokerto</v>
          </cell>
          <cell r="F145" t="str">
            <v>ZD7M - ADW Mojokerto</v>
          </cell>
        </row>
        <row r="146">
          <cell r="B146">
            <v>1916</v>
          </cell>
          <cell r="C146" t="str">
            <v>ZD7N</v>
          </cell>
          <cell r="D146" t="str">
            <v>ZD7N-HThermometer-1</v>
          </cell>
          <cell r="E146" t="str">
            <v>ADW Sidoarjo</v>
          </cell>
          <cell r="F146" t="str">
            <v>ZD7N - ADW Sidoarjo</v>
          </cell>
        </row>
        <row r="147">
          <cell r="B147">
            <v>1917</v>
          </cell>
          <cell r="C147" t="str">
            <v>ZD7N</v>
          </cell>
          <cell r="D147" t="str">
            <v>ZD7N-HThermometer-2</v>
          </cell>
          <cell r="E147" t="str">
            <v>ADW Sidoarjo</v>
          </cell>
          <cell r="F147" t="str">
            <v>ZD7N - ADW Sidoarjo</v>
          </cell>
        </row>
        <row r="148">
          <cell r="B148">
            <v>1918</v>
          </cell>
          <cell r="C148" t="str">
            <v>ZD7O</v>
          </cell>
          <cell r="D148" t="str">
            <v>ZD7O-HThermometer-1</v>
          </cell>
          <cell r="E148" t="str">
            <v>DC Surabaya - Margomulyo</v>
          </cell>
          <cell r="F148" t="str">
            <v>ZD7O - DC Surabaya - Margomulyo</v>
          </cell>
        </row>
        <row r="149">
          <cell r="B149">
            <v>1919</v>
          </cell>
          <cell r="C149" t="str">
            <v>ZD7O</v>
          </cell>
          <cell r="D149" t="str">
            <v>ZD7O-HThermometer-2</v>
          </cell>
          <cell r="E149" t="str">
            <v>DC Surabaya - Margomulyo</v>
          </cell>
          <cell r="F149" t="str">
            <v>ZD7O - DC Surabaya - Margomulyo</v>
          </cell>
        </row>
        <row r="150">
          <cell r="B150">
            <v>1920</v>
          </cell>
          <cell r="C150" t="str">
            <v>ZD8A</v>
          </cell>
          <cell r="D150" t="str">
            <v>ZD8A-HThermometer-1</v>
          </cell>
          <cell r="E150" t="str">
            <v>ADW Denpasar</v>
          </cell>
          <cell r="F150" t="str">
            <v>ZD8A - ADW Denpasar</v>
          </cell>
        </row>
        <row r="151">
          <cell r="B151">
            <v>1921</v>
          </cell>
          <cell r="C151" t="str">
            <v>ZD8A</v>
          </cell>
          <cell r="D151" t="str">
            <v>ZD8A-HThermometer-2</v>
          </cell>
          <cell r="E151" t="str">
            <v>ADW Denpasar</v>
          </cell>
          <cell r="F151" t="str">
            <v>ZD8A - ADW Denpasar</v>
          </cell>
        </row>
        <row r="152">
          <cell r="B152">
            <v>1922</v>
          </cell>
          <cell r="C152" t="str">
            <v>ZD8B</v>
          </cell>
          <cell r="D152" t="str">
            <v>ZD8B-HThermometer-1</v>
          </cell>
          <cell r="E152" t="str">
            <v>DPC Singaraja</v>
          </cell>
          <cell r="F152" t="str">
            <v>ZD8B - DPC Singaraja</v>
          </cell>
        </row>
        <row r="153">
          <cell r="B153">
            <v>1923</v>
          </cell>
          <cell r="C153" t="str">
            <v>ZD8C</v>
          </cell>
          <cell r="D153" t="str">
            <v>ZD8C-HThermometer-1</v>
          </cell>
          <cell r="E153" t="str">
            <v>ADW Mataram</v>
          </cell>
          <cell r="F153" t="str">
            <v>ZD8C - ADW Mataram</v>
          </cell>
        </row>
        <row r="154">
          <cell r="B154">
            <v>1924</v>
          </cell>
          <cell r="C154" t="str">
            <v>ZD8D</v>
          </cell>
          <cell r="D154" t="str">
            <v>ZD8D-HThermometer-1</v>
          </cell>
          <cell r="E154" t="str">
            <v>ADW Kupang</v>
          </cell>
          <cell r="F154" t="str">
            <v>ZD8D - ADW Kupang</v>
          </cell>
        </row>
        <row r="155">
          <cell r="B155">
            <v>1925</v>
          </cell>
          <cell r="C155" t="str">
            <v>ZD9A</v>
          </cell>
          <cell r="D155" t="str">
            <v>ZD9A-HThermometer-1</v>
          </cell>
          <cell r="E155" t="str">
            <v>ADW Pontianak</v>
          </cell>
          <cell r="F155" t="str">
            <v>ZD9A - ADW Pontianak</v>
          </cell>
        </row>
        <row r="156">
          <cell r="B156">
            <v>1926</v>
          </cell>
          <cell r="C156" t="str">
            <v>ZD9A</v>
          </cell>
          <cell r="D156" t="str">
            <v>ZD9A-HThermometer-2</v>
          </cell>
          <cell r="E156" t="str">
            <v>ADW Pontianak</v>
          </cell>
          <cell r="F156" t="str">
            <v>ZD9A - ADW Pontianak</v>
          </cell>
        </row>
        <row r="157">
          <cell r="B157">
            <v>1927</v>
          </cell>
          <cell r="C157" t="str">
            <v>ZD9B</v>
          </cell>
          <cell r="D157" t="str">
            <v>ZD9B-HThermometer-1</v>
          </cell>
          <cell r="E157" t="str">
            <v>ADW Sintang</v>
          </cell>
          <cell r="F157" t="str">
            <v>ZD9B - ADW Sintang</v>
          </cell>
        </row>
        <row r="158">
          <cell r="B158">
            <v>1928</v>
          </cell>
          <cell r="C158" t="str">
            <v>ZD9C</v>
          </cell>
          <cell r="D158" t="str">
            <v>ZD9C-HThermometer-1</v>
          </cell>
          <cell r="E158" t="str">
            <v>ADW Banjarmasin</v>
          </cell>
          <cell r="F158" t="str">
            <v>ZD9C - ADW Banjarmasin</v>
          </cell>
        </row>
        <row r="159">
          <cell r="B159">
            <v>1929</v>
          </cell>
          <cell r="C159" t="str">
            <v>ZD9C</v>
          </cell>
          <cell r="D159" t="str">
            <v>ZD9C-HThermometer-2</v>
          </cell>
          <cell r="E159" t="str">
            <v>ADW Banjarmasin</v>
          </cell>
          <cell r="F159" t="str">
            <v>ZD9C - ADW Banjarmasin</v>
          </cell>
        </row>
        <row r="160">
          <cell r="B160">
            <v>1930</v>
          </cell>
          <cell r="C160" t="str">
            <v>ZD9D</v>
          </cell>
          <cell r="D160" t="str">
            <v>ZD9D-HThermometer-1</v>
          </cell>
          <cell r="E160" t="str">
            <v>DPC Barabai</v>
          </cell>
          <cell r="F160" t="str">
            <v>ZD9D - DPC Barabai</v>
          </cell>
        </row>
        <row r="161">
          <cell r="B161">
            <v>1931</v>
          </cell>
          <cell r="C161" t="str">
            <v>ZD9F</v>
          </cell>
          <cell r="D161" t="str">
            <v>ZD9F-HThermometer-1</v>
          </cell>
          <cell r="E161" t="str">
            <v>ADW Samarinda</v>
          </cell>
          <cell r="F161" t="str">
            <v>ZD9F - ADW Samarinda</v>
          </cell>
        </row>
        <row r="162">
          <cell r="B162">
            <v>1932</v>
          </cell>
          <cell r="C162" t="str">
            <v>ZD9H</v>
          </cell>
          <cell r="D162" t="str">
            <v>ZD9H-HThermometer-1</v>
          </cell>
          <cell r="E162" t="str">
            <v>ADW Balikpapan</v>
          </cell>
          <cell r="F162" t="str">
            <v>ZD9H - ADW Balikpapan</v>
          </cell>
        </row>
        <row r="163">
          <cell r="B163">
            <v>1933</v>
          </cell>
          <cell r="C163" t="str">
            <v>ZD9I</v>
          </cell>
          <cell r="D163" t="str">
            <v>ZD9I-HThermometer-1</v>
          </cell>
          <cell r="E163" t="str">
            <v>DPC Sangatta</v>
          </cell>
          <cell r="F163" t="str">
            <v>ZD9I - DPC Sangatta</v>
          </cell>
        </row>
        <row r="164">
          <cell r="B164">
            <v>1934</v>
          </cell>
          <cell r="C164" t="str">
            <v>ZD9J</v>
          </cell>
          <cell r="D164" t="str">
            <v>ZD9J-HThermometer-1</v>
          </cell>
          <cell r="E164" t="str">
            <v>Depo Samarinda</v>
          </cell>
          <cell r="F164" t="str">
            <v>ZD9J - Depo Samarinda</v>
          </cell>
        </row>
        <row r="165">
          <cell r="B165">
            <v>2068</v>
          </cell>
          <cell r="C165" t="str">
            <v>ZD8E</v>
          </cell>
          <cell r="D165" t="str">
            <v>ZD8E-HThermometer-1</v>
          </cell>
          <cell r="E165" t="str">
            <v>DPC Ende</v>
          </cell>
          <cell r="F165" t="str">
            <v>ZD8E - DPC Ende</v>
          </cell>
        </row>
        <row r="166">
          <cell r="B166">
            <v>6679</v>
          </cell>
          <cell r="C166" t="str">
            <v>ZD6C</v>
          </cell>
          <cell r="D166" t="str">
            <v>ZD6C-HThermometer-2</v>
          </cell>
          <cell r="E166" t="str">
            <v>ADW Tegal</v>
          </cell>
          <cell r="F166" t="str">
            <v>ZD6C - ADW Tegal</v>
          </cell>
        </row>
        <row r="167">
          <cell r="B167">
            <v>6680</v>
          </cell>
          <cell r="C167" t="str">
            <v>ZD6K</v>
          </cell>
          <cell r="D167" t="str">
            <v>ZD6K-HThermometer-2</v>
          </cell>
          <cell r="E167" t="str">
            <v>DPC Cilacap</v>
          </cell>
          <cell r="F167" t="str">
            <v>ZD6K - DPC Cilacap</v>
          </cell>
        </row>
        <row r="168">
          <cell r="B168">
            <v>6681</v>
          </cell>
          <cell r="C168" t="str">
            <v>ZD6D</v>
          </cell>
          <cell r="D168" t="str">
            <v>ZD6D-HThermometer-2</v>
          </cell>
          <cell r="E168" t="str">
            <v>DPC Pekalongan</v>
          </cell>
          <cell r="F168" t="str">
            <v>ZD6D - DPC Pekalongan</v>
          </cell>
        </row>
        <row r="169">
          <cell r="B169">
            <v>6682</v>
          </cell>
          <cell r="C169" t="str">
            <v>ZD6H</v>
          </cell>
          <cell r="D169" t="str">
            <v>ZD6H-HThermometer-2</v>
          </cell>
          <cell r="E169" t="str">
            <v>ADW Surakarta</v>
          </cell>
          <cell r="F169" t="str">
            <v>ZD6H - ADW Surakarta</v>
          </cell>
        </row>
        <row r="170">
          <cell r="B170">
            <v>6683</v>
          </cell>
          <cell r="C170" t="str">
            <v>ZD6J</v>
          </cell>
          <cell r="D170" t="str">
            <v>ZD6J-HThermometer-2</v>
          </cell>
          <cell r="E170" t="str">
            <v>ADW Salatiga</v>
          </cell>
          <cell r="F170" t="str">
            <v>ZD6J - ADW Salatiga</v>
          </cell>
        </row>
        <row r="171">
          <cell r="B171">
            <v>6684</v>
          </cell>
          <cell r="C171" t="str">
            <v>ZD6G</v>
          </cell>
          <cell r="D171" t="str">
            <v>ZD6G-HThermometer-2</v>
          </cell>
          <cell r="E171" t="str">
            <v>ADW Magelang</v>
          </cell>
          <cell r="F171" t="str">
            <v>ZD6G - ADW Magelang</v>
          </cell>
        </row>
        <row r="172">
          <cell r="B172">
            <v>6744</v>
          </cell>
          <cell r="C172" t="str">
            <v>ZD4S</v>
          </cell>
          <cell r="D172" t="str">
            <v>ZD4s-HThermometer-1</v>
          </cell>
          <cell r="E172" t="str">
            <v>DPC Pondok Pinang</v>
          </cell>
          <cell r="F172" t="str">
            <v>ZD4S - DPC Pondok Pinang</v>
          </cell>
        </row>
        <row r="173">
          <cell r="B173">
            <v>6750</v>
          </cell>
          <cell r="C173" t="str">
            <v>ZD4C</v>
          </cell>
          <cell r="D173" t="str">
            <v>ZD4C-Thermometer-1</v>
          </cell>
          <cell r="E173" t="str">
            <v>DPC Jakarta Utara (T)</v>
          </cell>
          <cell r="F173" t="str">
            <v>ZD4C - DPC Jakarta Utara (T)</v>
          </cell>
        </row>
      </sheetData>
      <sheetData sheetId="6">
        <row r="4">
          <cell r="B4" t="str">
            <v>IDLocation</v>
          </cell>
          <cell r="C4" t="str">
            <v>LocationName</v>
          </cell>
          <cell r="D4" t="str">
            <v>WarehouseName</v>
          </cell>
        </row>
        <row r="5">
          <cell r="B5" t="str">
            <v>ZD0A</v>
          </cell>
          <cell r="C5" t="str">
            <v>ADW Makassar</v>
          </cell>
          <cell r="D5" t="str">
            <v>ZD0A - ADW Makassar</v>
          </cell>
        </row>
        <row r="6">
          <cell r="B6" t="str">
            <v>ZD0B</v>
          </cell>
          <cell r="C6" t="str">
            <v>ADW Pare - Pare</v>
          </cell>
          <cell r="D6" t="str">
            <v>ZD0B - ADW Pare - Pare</v>
          </cell>
        </row>
        <row r="7">
          <cell r="B7" t="str">
            <v>ZD0C</v>
          </cell>
          <cell r="C7" t="str">
            <v>DPC Palopo</v>
          </cell>
          <cell r="D7" t="str">
            <v>ZD0C - DPC Palopo</v>
          </cell>
        </row>
        <row r="8">
          <cell r="B8" t="str">
            <v>ZD0D</v>
          </cell>
          <cell r="C8" t="str">
            <v>ADW Manado</v>
          </cell>
          <cell r="D8" t="str">
            <v>ZD0D - ADW Manado</v>
          </cell>
        </row>
        <row r="9">
          <cell r="B9" t="str">
            <v>ZD0E</v>
          </cell>
          <cell r="C9" t="str">
            <v>ADW Ambon</v>
          </cell>
          <cell r="D9" t="str">
            <v>ZD0E - ADW Ambon</v>
          </cell>
        </row>
        <row r="10">
          <cell r="B10" t="str">
            <v>ZD0F</v>
          </cell>
          <cell r="C10" t="str">
            <v>ADW Palu</v>
          </cell>
          <cell r="D10" t="str">
            <v>ZD0F - ADW Palu</v>
          </cell>
        </row>
        <row r="11">
          <cell r="B11" t="str">
            <v>ZD0G</v>
          </cell>
          <cell r="C11" t="str">
            <v>ADW Gorontalo</v>
          </cell>
          <cell r="D11" t="str">
            <v>ZD0G - ADW Gorontalo</v>
          </cell>
        </row>
        <row r="12">
          <cell r="B12" t="str">
            <v>ZD0H</v>
          </cell>
          <cell r="C12" t="str">
            <v>ADW Ternate</v>
          </cell>
          <cell r="D12" t="str">
            <v>ZD0H - ADW Ternate</v>
          </cell>
        </row>
        <row r="13">
          <cell r="B13" t="str">
            <v>ZD0I</v>
          </cell>
          <cell r="C13" t="str">
            <v>ADW Papua</v>
          </cell>
          <cell r="D13" t="str">
            <v>ZD0I - ADW Papua</v>
          </cell>
        </row>
        <row r="14">
          <cell r="B14" t="str">
            <v>ZD0J</v>
          </cell>
          <cell r="C14" t="str">
            <v>DPC Bone</v>
          </cell>
          <cell r="D14" t="str">
            <v>ZD0J - DPC Bone</v>
          </cell>
        </row>
        <row r="15">
          <cell r="B15" t="str">
            <v>ZD0K</v>
          </cell>
          <cell r="C15" t="str">
            <v>ADW Kendari</v>
          </cell>
          <cell r="D15" t="str">
            <v>ZD0K - ADW Kendari</v>
          </cell>
        </row>
        <row r="16">
          <cell r="B16" t="str">
            <v>ZD0M</v>
          </cell>
          <cell r="C16" t="str">
            <v>ADW Sorong</v>
          </cell>
          <cell r="D16" t="str">
            <v>ZD0M - ADW Sorong</v>
          </cell>
        </row>
        <row r="17">
          <cell r="B17" t="str">
            <v>ZD1A</v>
          </cell>
          <cell r="C17" t="str">
            <v>ADW Medan 2</v>
          </cell>
          <cell r="D17" t="str">
            <v>ZD1A - ADW Medan 2</v>
          </cell>
        </row>
        <row r="18">
          <cell r="B18" t="str">
            <v>ZD1B</v>
          </cell>
          <cell r="C18" t="str">
            <v>ADW Tanah Karo</v>
          </cell>
          <cell r="D18" t="str">
            <v>ZD1B - ADW Tanah Karo</v>
          </cell>
        </row>
        <row r="19">
          <cell r="B19" t="str">
            <v>ZD1C</v>
          </cell>
          <cell r="C19" t="str">
            <v>DPC Langkat</v>
          </cell>
          <cell r="D19" t="str">
            <v>ZD1C - DPC Langkat</v>
          </cell>
        </row>
        <row r="20">
          <cell r="B20" t="str">
            <v>ZD1D</v>
          </cell>
          <cell r="C20" t="str">
            <v>ADW Pematang Siantar</v>
          </cell>
          <cell r="D20" t="str">
            <v>ZD1D - ADW Pematang Siantar</v>
          </cell>
        </row>
        <row r="21">
          <cell r="B21" t="str">
            <v>ZD1E</v>
          </cell>
          <cell r="C21" t="str">
            <v>DPC Rantau Prapat</v>
          </cell>
          <cell r="D21" t="str">
            <v>ZD1E - DPC Rantau Prapat</v>
          </cell>
        </row>
        <row r="22">
          <cell r="B22" t="str">
            <v>ZD1F</v>
          </cell>
          <cell r="C22" t="str">
            <v>ADW Banda Aceh</v>
          </cell>
          <cell r="D22" t="str">
            <v>ZD1F - ADW Banda Aceh</v>
          </cell>
        </row>
        <row r="23">
          <cell r="B23" t="str">
            <v>ZD1G</v>
          </cell>
          <cell r="C23" t="str">
            <v>DPC Meulaboh</v>
          </cell>
          <cell r="D23" t="str">
            <v>ZD1G - DPC Meulaboh</v>
          </cell>
        </row>
        <row r="24">
          <cell r="B24" t="str">
            <v>ZD1H</v>
          </cell>
          <cell r="C24" t="str">
            <v>ADW Lhokseumawe</v>
          </cell>
          <cell r="D24" t="str">
            <v>ZD1H - ADW Lhokseumawe</v>
          </cell>
        </row>
        <row r="25">
          <cell r="B25" t="str">
            <v>ZD1I</v>
          </cell>
          <cell r="C25" t="str">
            <v>DPC Langsa</v>
          </cell>
          <cell r="D25" t="str">
            <v>ZD1I - DPC Langsa</v>
          </cell>
        </row>
        <row r="26">
          <cell r="B26" t="str">
            <v>ZD1J</v>
          </cell>
          <cell r="C26" t="str">
            <v>ADW Padang Sidempuan</v>
          </cell>
          <cell r="D26" t="str">
            <v>ZD1J - ADW Padang Sidempuan</v>
          </cell>
        </row>
        <row r="27">
          <cell r="B27" t="str">
            <v>ZD1K</v>
          </cell>
          <cell r="C27" t="str">
            <v>DPC Sibolga</v>
          </cell>
          <cell r="D27" t="str">
            <v>ZD1K - DPC Sibolga</v>
          </cell>
        </row>
        <row r="28">
          <cell r="B28" t="str">
            <v>ZD1L</v>
          </cell>
          <cell r="C28" t="str">
            <v>Depo Medan</v>
          </cell>
          <cell r="D28" t="str">
            <v>ZD1L - Depo Medan</v>
          </cell>
        </row>
        <row r="29">
          <cell r="B29" t="str">
            <v>ZD1M</v>
          </cell>
          <cell r="C29" t="str">
            <v>ADW Kisaran</v>
          </cell>
          <cell r="D29" t="str">
            <v>ZD1M - ADW Kisaran</v>
          </cell>
        </row>
        <row r="30">
          <cell r="B30" t="str">
            <v>ZD1N</v>
          </cell>
          <cell r="C30" t="str">
            <v>ADW Medan 1</v>
          </cell>
          <cell r="D30" t="str">
            <v>ZD1N - ADW Medan 1</v>
          </cell>
        </row>
        <row r="31">
          <cell r="B31" t="str">
            <v>ZD2A</v>
          </cell>
          <cell r="C31" t="str">
            <v>ADW Padang</v>
          </cell>
          <cell r="D31" t="str">
            <v>ZD2A - ADW Padang</v>
          </cell>
        </row>
        <row r="32">
          <cell r="B32" t="str">
            <v>ZD2B</v>
          </cell>
          <cell r="C32" t="str">
            <v>DPC Solok</v>
          </cell>
          <cell r="D32" t="str">
            <v>ZD2B - DPC Solok</v>
          </cell>
        </row>
        <row r="33">
          <cell r="B33" t="str">
            <v>ZD2C</v>
          </cell>
          <cell r="C33" t="str">
            <v>ADW Bukit Tinggi</v>
          </cell>
          <cell r="D33" t="str">
            <v>ZD2C - ADW Bukit Tinggi</v>
          </cell>
        </row>
        <row r="34">
          <cell r="B34" t="str">
            <v>ZD2D</v>
          </cell>
          <cell r="C34" t="str">
            <v>ADW Pekanbaru</v>
          </cell>
          <cell r="D34" t="str">
            <v>ZD2D - ADW Pekanbaru</v>
          </cell>
        </row>
        <row r="35">
          <cell r="B35" t="str">
            <v>ZD2E</v>
          </cell>
          <cell r="C35" t="str">
            <v>ADW Duri</v>
          </cell>
          <cell r="D35" t="str">
            <v>ZD2E - ADW Duri</v>
          </cell>
        </row>
        <row r="36">
          <cell r="B36" t="str">
            <v>ZD2F</v>
          </cell>
          <cell r="C36" t="str">
            <v>ADW Air Molek</v>
          </cell>
          <cell r="D36" t="str">
            <v>ZD2F - ADW Air Molek</v>
          </cell>
        </row>
        <row r="37">
          <cell r="B37" t="str">
            <v>ZD2G</v>
          </cell>
          <cell r="C37" t="str">
            <v>ADW Batam</v>
          </cell>
          <cell r="D37" t="str">
            <v>ZD2G - ADW Batam</v>
          </cell>
        </row>
        <row r="38">
          <cell r="B38" t="str">
            <v>ZD2H</v>
          </cell>
          <cell r="C38" t="str">
            <v>DPC Tanjung Pinang</v>
          </cell>
          <cell r="D38" t="str">
            <v>ZD2H - DPC Tanjung Pinang</v>
          </cell>
        </row>
        <row r="39">
          <cell r="B39" t="str">
            <v>ZD2I</v>
          </cell>
          <cell r="C39" t="str">
            <v>DPC Tanjung Balai Karimun</v>
          </cell>
          <cell r="D39" t="str">
            <v>ZD2I - DPC Tanjung Balai Karimun</v>
          </cell>
        </row>
        <row r="40">
          <cell r="B40" t="str">
            <v>ZD3B</v>
          </cell>
          <cell r="C40" t="str">
            <v>ADW Lampung</v>
          </cell>
          <cell r="D40" t="str">
            <v>ZD3B - ADW Lampung</v>
          </cell>
        </row>
        <row r="41">
          <cell r="B41" t="str">
            <v>ZD3C</v>
          </cell>
          <cell r="C41" t="str">
            <v>ADW Kota Bumi</v>
          </cell>
          <cell r="D41" t="str">
            <v>ZD3C - ADW Kota Bumi</v>
          </cell>
        </row>
        <row r="42">
          <cell r="B42" t="str">
            <v>ZD3D</v>
          </cell>
          <cell r="C42" t="str">
            <v>ADW Palembang</v>
          </cell>
          <cell r="D42" t="str">
            <v>ZD3D - ADW Palembang</v>
          </cell>
        </row>
        <row r="43">
          <cell r="B43" t="str">
            <v>ZD3E</v>
          </cell>
          <cell r="C43" t="str">
            <v>ADW Lahat</v>
          </cell>
          <cell r="D43" t="str">
            <v>ZD3E - ADW Lahat</v>
          </cell>
        </row>
        <row r="44">
          <cell r="B44" t="str">
            <v>ZD3F</v>
          </cell>
          <cell r="C44" t="str">
            <v>DPC Batu Raja</v>
          </cell>
          <cell r="D44" t="str">
            <v>ZD3F - DPC Batu Raja</v>
          </cell>
        </row>
        <row r="45">
          <cell r="B45" t="str">
            <v>ZD3G</v>
          </cell>
          <cell r="C45" t="str">
            <v>ADW Jambi</v>
          </cell>
          <cell r="D45" t="str">
            <v>ZD3G - ADW Jambi</v>
          </cell>
        </row>
        <row r="46">
          <cell r="B46" t="str">
            <v>ZD3H</v>
          </cell>
          <cell r="C46" t="str">
            <v>ADW Muara Bungo</v>
          </cell>
          <cell r="D46" t="str">
            <v>ZD3H - ADW Muara Bungo</v>
          </cell>
        </row>
        <row r="47">
          <cell r="B47" t="str">
            <v>ZD3I</v>
          </cell>
          <cell r="C47" t="str">
            <v>ADW Bengkulu</v>
          </cell>
          <cell r="D47" t="str">
            <v>ZD3I - ADW Bengkulu</v>
          </cell>
        </row>
        <row r="48">
          <cell r="B48" t="str">
            <v>ZD3J</v>
          </cell>
          <cell r="C48" t="str">
            <v>ADW Pangkal Pinang</v>
          </cell>
          <cell r="D48" t="str">
            <v>ZD3J - ADW Pangkal Pinang</v>
          </cell>
        </row>
        <row r="49">
          <cell r="B49" t="str">
            <v>ZD3K</v>
          </cell>
          <cell r="C49" t="str">
            <v>DPC Lubuk Linggau</v>
          </cell>
          <cell r="D49" t="str">
            <v>ZD3K - DPC Lubuk Linggau</v>
          </cell>
        </row>
        <row r="50">
          <cell r="B50" t="str">
            <v>ZD3L</v>
          </cell>
          <cell r="C50" t="str">
            <v>ADW Metro</v>
          </cell>
          <cell r="D50" t="str">
            <v>ZD3L - ADW Metro</v>
          </cell>
        </row>
        <row r="51">
          <cell r="B51" t="str">
            <v>ZD3M</v>
          </cell>
          <cell r="C51" t="str">
            <v>DPC Pringsewu</v>
          </cell>
          <cell r="D51" t="str">
            <v>ZD3M - DPC Pringsewu</v>
          </cell>
        </row>
        <row r="52">
          <cell r="B52" t="str">
            <v>ZD3N</v>
          </cell>
          <cell r="C52" t="str">
            <v>DPC Kalianda</v>
          </cell>
          <cell r="D52" t="str">
            <v>ZD3N - DPC Kalianda</v>
          </cell>
        </row>
        <row r="53">
          <cell r="B53" t="str">
            <v>ZD3O</v>
          </cell>
          <cell r="C53" t="str">
            <v>DPC Tuba</v>
          </cell>
          <cell r="D53" t="str">
            <v>ZD3O - DPC Tuba</v>
          </cell>
        </row>
        <row r="54">
          <cell r="B54" t="str">
            <v>ZD3Q</v>
          </cell>
          <cell r="C54" t="str">
            <v>ADW Palembang 2</v>
          </cell>
          <cell r="D54" t="str">
            <v>ZD3Q - ADW Palembang 2</v>
          </cell>
        </row>
        <row r="55">
          <cell r="B55" t="str">
            <v>ZD4A</v>
          </cell>
          <cell r="C55" t="str">
            <v>DC Karawang Lot. 17</v>
          </cell>
          <cell r="D55" t="str">
            <v>ZD4A - DC Karawang Lot. 17</v>
          </cell>
        </row>
        <row r="56">
          <cell r="B56" t="str">
            <v>ZD4B</v>
          </cell>
          <cell r="C56" t="str">
            <v>DC Karawang Lot. 41</v>
          </cell>
          <cell r="D56" t="str">
            <v>ZD4B - DC Karawang Lot. 41</v>
          </cell>
        </row>
        <row r="57">
          <cell r="B57" t="str">
            <v>ZD4C</v>
          </cell>
          <cell r="C57" t="str">
            <v>DPC Jakarta Utara (T)</v>
          </cell>
          <cell r="D57" t="str">
            <v>ZD4C - DPC Jakarta Utara (T)</v>
          </cell>
        </row>
        <row r="58">
          <cell r="B58" t="str">
            <v>ZD4D</v>
          </cell>
          <cell r="C58" t="str">
            <v>ADW Jakarta Barat</v>
          </cell>
          <cell r="D58" t="str">
            <v>ZD4D - ADW Jakarta Barat</v>
          </cell>
        </row>
        <row r="59">
          <cell r="B59" t="str">
            <v>ZD4E</v>
          </cell>
          <cell r="C59" t="str">
            <v>ADW Tangerang</v>
          </cell>
          <cell r="D59" t="str">
            <v>ZD4E - ADW Tangerang</v>
          </cell>
        </row>
        <row r="60">
          <cell r="B60" t="str">
            <v>ZD4F</v>
          </cell>
          <cell r="C60" t="str">
            <v>DPC Jakarta Timur</v>
          </cell>
          <cell r="D60" t="str">
            <v>ZD4F - DPC Jakarta Timur</v>
          </cell>
        </row>
        <row r="61">
          <cell r="B61" t="str">
            <v>ZD4G</v>
          </cell>
          <cell r="C61" t="str">
            <v>ADW Bogor</v>
          </cell>
          <cell r="D61" t="str">
            <v>ZD4G - ADW Bogor</v>
          </cell>
        </row>
        <row r="62">
          <cell r="B62" t="str">
            <v>ZD4H</v>
          </cell>
          <cell r="C62" t="str">
            <v>ADW Jakarta Timur A</v>
          </cell>
          <cell r="D62" t="str">
            <v>ZD4H - ADW Jakarta Timur A</v>
          </cell>
        </row>
        <row r="63">
          <cell r="B63" t="str">
            <v>ZD4I</v>
          </cell>
          <cell r="C63" t="str">
            <v>ADW Karawang</v>
          </cell>
          <cell r="D63" t="str">
            <v>ZD4I - ADW Karawang</v>
          </cell>
        </row>
        <row r="64">
          <cell r="B64" t="str">
            <v>ZD4J</v>
          </cell>
          <cell r="C64" t="str">
            <v>ADW Serang</v>
          </cell>
          <cell r="D64" t="str">
            <v>ZD4J - ADW Serang</v>
          </cell>
        </row>
        <row r="65">
          <cell r="B65" t="str">
            <v>ZD4K</v>
          </cell>
          <cell r="C65" t="str">
            <v>ADW Jakarta Pusat</v>
          </cell>
          <cell r="D65" t="str">
            <v>ZD4K - ADW Jakarta Pusat</v>
          </cell>
        </row>
        <row r="66">
          <cell r="B66" t="str">
            <v>ZD4L</v>
          </cell>
          <cell r="C66" t="str">
            <v>DPC Jakarta Pusat A</v>
          </cell>
          <cell r="D66" t="str">
            <v>ZD4L - DPC Jakarta Pusat A</v>
          </cell>
        </row>
        <row r="67">
          <cell r="B67" t="str">
            <v>ZD4M</v>
          </cell>
          <cell r="C67" t="str">
            <v>ADW Jakarta Selatan</v>
          </cell>
          <cell r="D67" t="str">
            <v>ZD4M - ADW Jakarta Selatan</v>
          </cell>
        </row>
        <row r="68">
          <cell r="B68" t="str">
            <v>ZD4N</v>
          </cell>
          <cell r="C68" t="str">
            <v>ADW Depok</v>
          </cell>
          <cell r="D68" t="str">
            <v>ZD4N - ADW Depok</v>
          </cell>
        </row>
        <row r="69">
          <cell r="B69" t="str">
            <v>ZD4O</v>
          </cell>
          <cell r="C69" t="str">
            <v>ADW Bekasi</v>
          </cell>
          <cell r="D69" t="str">
            <v>ZD4O - ADW Bekasi</v>
          </cell>
        </row>
        <row r="70">
          <cell r="B70" t="str">
            <v>ZD4P</v>
          </cell>
          <cell r="C70" t="str">
            <v>DPC Bogor</v>
          </cell>
          <cell r="D70" t="str">
            <v>ZD4P - DPC Bogor</v>
          </cell>
        </row>
        <row r="71">
          <cell r="B71" t="str">
            <v>ZD4Q</v>
          </cell>
          <cell r="C71" t="str">
            <v>DPC Tangerang A</v>
          </cell>
          <cell r="D71" t="str">
            <v>ZD4Q - DPC Tangerang A</v>
          </cell>
        </row>
        <row r="72">
          <cell r="B72" t="str">
            <v>ZD4R</v>
          </cell>
          <cell r="C72" t="str">
            <v>ADW Labuan</v>
          </cell>
          <cell r="D72" t="str">
            <v>ZD4R - ADW Labuan</v>
          </cell>
        </row>
        <row r="73">
          <cell r="B73" t="str">
            <v>ZD4S</v>
          </cell>
          <cell r="C73" t="str">
            <v>DPC Pondok Pinang</v>
          </cell>
          <cell r="D73" t="str">
            <v>ZD4S - DPC Pondok Pinang</v>
          </cell>
        </row>
        <row r="74">
          <cell r="B74" t="str">
            <v>ZD4T</v>
          </cell>
          <cell r="C74" t="str">
            <v>ADW Jakarta Utara</v>
          </cell>
          <cell r="D74" t="str">
            <v>ZD4T - ADW Jakarta Utara</v>
          </cell>
        </row>
        <row r="75">
          <cell r="B75" t="str">
            <v>ZD5A</v>
          </cell>
          <cell r="C75" t="str">
            <v>ADW Bandung</v>
          </cell>
          <cell r="D75" t="str">
            <v>ZD5A - ADW Bandung</v>
          </cell>
        </row>
        <row r="76">
          <cell r="B76" t="str">
            <v>ZD5B</v>
          </cell>
          <cell r="C76" t="str">
            <v>ADW Bandung 3</v>
          </cell>
          <cell r="D76" t="str">
            <v>ZD5B - ADW Bandung 3</v>
          </cell>
        </row>
        <row r="77">
          <cell r="B77" t="str">
            <v>ZD5C</v>
          </cell>
          <cell r="C77" t="str">
            <v>ADW Sukabumi</v>
          </cell>
          <cell r="D77" t="str">
            <v>ZD5C - ADW Sukabumi</v>
          </cell>
        </row>
        <row r="78">
          <cell r="B78" t="str">
            <v>ZD5D</v>
          </cell>
          <cell r="C78" t="str">
            <v>ADW Tasikmalaya</v>
          </cell>
          <cell r="D78" t="str">
            <v>ZD5D - ADW Tasikmalaya</v>
          </cell>
        </row>
        <row r="79">
          <cell r="B79" t="str">
            <v>ZD5E</v>
          </cell>
          <cell r="C79" t="str">
            <v>ADW Garut</v>
          </cell>
          <cell r="D79" t="str">
            <v>ZD5E - ADW Garut</v>
          </cell>
        </row>
        <row r="80">
          <cell r="B80" t="str">
            <v>ZD5F</v>
          </cell>
          <cell r="C80" t="str">
            <v>ADW Cirebon</v>
          </cell>
          <cell r="D80" t="str">
            <v>ZD5F - ADW Cirebon</v>
          </cell>
        </row>
        <row r="81">
          <cell r="B81" t="str">
            <v>ZD5G</v>
          </cell>
          <cell r="C81" t="str">
            <v>DPC Indramayu</v>
          </cell>
          <cell r="D81" t="str">
            <v>ZD5G - DPC Indramayu</v>
          </cell>
        </row>
        <row r="82">
          <cell r="B82" t="str">
            <v>ZD5H</v>
          </cell>
          <cell r="C82" t="str">
            <v>ADW Purwokerto</v>
          </cell>
          <cell r="D82" t="str">
            <v>ZD5H - ADW Purwokerto</v>
          </cell>
        </row>
        <row r="83">
          <cell r="B83" t="str">
            <v>ZD5I</v>
          </cell>
          <cell r="C83" t="str">
            <v>Dunex - Yos Sudarso</v>
          </cell>
          <cell r="D83" t="str">
            <v>ZD5I - Dunex - Yos Sudarso</v>
          </cell>
        </row>
        <row r="84">
          <cell r="B84" t="str">
            <v>ZD5J</v>
          </cell>
          <cell r="C84" t="str">
            <v>Kiat Ananda (Naragong-Bekasi)</v>
          </cell>
          <cell r="D84" t="str">
            <v>ZD5J - Kiat Ananda (Naragong-Bekasi)</v>
          </cell>
        </row>
        <row r="85">
          <cell r="B85" t="str">
            <v>ZD5K</v>
          </cell>
          <cell r="C85" t="str">
            <v>DPC Cianjur</v>
          </cell>
          <cell r="D85" t="str">
            <v>ZD5K - DPC Cianjur</v>
          </cell>
        </row>
        <row r="86">
          <cell r="B86" t="str">
            <v>ZD5M</v>
          </cell>
          <cell r="C86" t="str">
            <v>DPC Sumedang</v>
          </cell>
          <cell r="D86" t="str">
            <v>ZD5M - DPC Sumedang</v>
          </cell>
        </row>
        <row r="87">
          <cell r="B87" t="str">
            <v>ZD6B</v>
          </cell>
          <cell r="C87" t="str">
            <v>ADW Semarang</v>
          </cell>
          <cell r="D87" t="str">
            <v>ZD6B - ADW Semarang</v>
          </cell>
        </row>
        <row r="88">
          <cell r="B88" t="str">
            <v>ZD6C</v>
          </cell>
          <cell r="C88" t="str">
            <v>ADW Tegal</v>
          </cell>
          <cell r="D88" t="str">
            <v>ZD6C - ADW Tegal</v>
          </cell>
        </row>
        <row r="89">
          <cell r="B89" t="str">
            <v>ZD6D</v>
          </cell>
          <cell r="C89" t="str">
            <v>DPC Pekalongan</v>
          </cell>
          <cell r="D89" t="str">
            <v>ZD6D - DPC Pekalongan</v>
          </cell>
        </row>
        <row r="90">
          <cell r="B90" t="str">
            <v>ZD6E</v>
          </cell>
          <cell r="C90" t="str">
            <v>ADW Pati</v>
          </cell>
          <cell r="D90" t="str">
            <v>ZD6E - ADW Pati</v>
          </cell>
        </row>
        <row r="91">
          <cell r="B91" t="str">
            <v>ZD6F</v>
          </cell>
          <cell r="C91" t="str">
            <v>ADW Yogyakarta</v>
          </cell>
          <cell r="D91" t="str">
            <v>ZD6F - ADW Yogyakarta</v>
          </cell>
        </row>
        <row r="92">
          <cell r="B92" t="str">
            <v>ZD6G</v>
          </cell>
          <cell r="C92" t="str">
            <v>ADW Magelang</v>
          </cell>
          <cell r="D92" t="str">
            <v>ZD6G - ADW Magelang</v>
          </cell>
        </row>
        <row r="93">
          <cell r="B93" t="str">
            <v>ZD6H</v>
          </cell>
          <cell r="C93" t="str">
            <v>ADW Surakarta</v>
          </cell>
          <cell r="D93" t="str">
            <v>ZD6H - ADW Surakarta</v>
          </cell>
        </row>
        <row r="94">
          <cell r="B94" t="str">
            <v>ZD6I</v>
          </cell>
          <cell r="C94" t="str">
            <v>ADW Madiun</v>
          </cell>
          <cell r="D94" t="str">
            <v>ZD6I - ADW Madiun</v>
          </cell>
        </row>
        <row r="95">
          <cell r="B95" t="str">
            <v>ZD6J</v>
          </cell>
          <cell r="C95" t="str">
            <v>ADW Salatiga</v>
          </cell>
          <cell r="D95" t="str">
            <v>ZD6J - ADW Salatiga</v>
          </cell>
        </row>
        <row r="96">
          <cell r="B96" t="str">
            <v>ZD6K</v>
          </cell>
          <cell r="C96" t="str">
            <v>DPC Cilacap</v>
          </cell>
          <cell r="D96" t="str">
            <v>ZD6K - DPC Cilacap</v>
          </cell>
        </row>
        <row r="97">
          <cell r="B97" t="str">
            <v>ZD7B</v>
          </cell>
          <cell r="C97" t="str">
            <v>ADW Surabaya</v>
          </cell>
          <cell r="D97" t="str">
            <v>ZD7B - ADW Surabaya</v>
          </cell>
        </row>
        <row r="98">
          <cell r="B98" t="str">
            <v>ZD7C</v>
          </cell>
          <cell r="C98" t="str">
            <v>ADW Tuban</v>
          </cell>
          <cell r="D98" t="str">
            <v>ZD7C - ADW Tuban</v>
          </cell>
        </row>
        <row r="99">
          <cell r="B99" t="str">
            <v>ZD7D</v>
          </cell>
          <cell r="C99" t="str">
            <v>ADW Malang</v>
          </cell>
          <cell r="D99" t="str">
            <v>ZD7D - ADW Malang</v>
          </cell>
        </row>
        <row r="100">
          <cell r="B100" t="str">
            <v>ZD7E</v>
          </cell>
          <cell r="C100" t="str">
            <v>ADW Kediri</v>
          </cell>
          <cell r="D100" t="str">
            <v>ZD7E - ADW Kediri</v>
          </cell>
        </row>
        <row r="101">
          <cell r="B101" t="str">
            <v>ZD7F</v>
          </cell>
          <cell r="C101" t="str">
            <v>ADW Pamekasan</v>
          </cell>
          <cell r="D101" t="str">
            <v>ZD7F - ADW Pamekasan</v>
          </cell>
        </row>
        <row r="102">
          <cell r="B102" t="str">
            <v>ZD7G</v>
          </cell>
          <cell r="C102" t="str">
            <v>ADW Jember</v>
          </cell>
          <cell r="D102" t="str">
            <v>ZD7G - ADW Jember</v>
          </cell>
        </row>
        <row r="103">
          <cell r="B103" t="str">
            <v>ZD7H</v>
          </cell>
          <cell r="C103" t="str">
            <v>DPC Banyuwangi</v>
          </cell>
          <cell r="D103" t="str">
            <v>ZD7H - DPC Banyuwangi</v>
          </cell>
        </row>
        <row r="104">
          <cell r="B104" t="str">
            <v>ZD7I</v>
          </cell>
          <cell r="C104" t="str">
            <v>ADW Probolinggo</v>
          </cell>
          <cell r="D104" t="str">
            <v>ZD7I - ADW Probolinggo</v>
          </cell>
        </row>
        <row r="105">
          <cell r="B105" t="str">
            <v>ZD7J</v>
          </cell>
          <cell r="C105" t="str">
            <v>DC Sukorejo</v>
          </cell>
          <cell r="D105" t="str">
            <v>ZD7J - DC Sukorejo</v>
          </cell>
        </row>
        <row r="106">
          <cell r="B106" t="str">
            <v>ZD7L</v>
          </cell>
          <cell r="C106" t="str">
            <v>ADW Gresik</v>
          </cell>
          <cell r="D106" t="str">
            <v>ZD7L - ADW Gresik</v>
          </cell>
        </row>
        <row r="107">
          <cell r="B107" t="str">
            <v>ZD7M</v>
          </cell>
          <cell r="C107" t="str">
            <v>ADW Mojokerto</v>
          </cell>
          <cell r="D107" t="str">
            <v>ZD7M - ADW Mojokerto</v>
          </cell>
        </row>
        <row r="108">
          <cell r="B108" t="str">
            <v>ZD7N</v>
          </cell>
          <cell r="C108" t="str">
            <v>ADW Sidoarjo</v>
          </cell>
          <cell r="D108" t="str">
            <v>ZD7N - ADW Sidoarjo</v>
          </cell>
        </row>
        <row r="109">
          <cell r="B109" t="str">
            <v>ZD7O</v>
          </cell>
          <cell r="C109" t="str">
            <v>DC Surabaya - Margomulyo</v>
          </cell>
          <cell r="D109" t="str">
            <v>ZD7O - DC Surabaya - Margomulyo</v>
          </cell>
        </row>
        <row r="110">
          <cell r="B110" t="str">
            <v>ZD8A</v>
          </cell>
          <cell r="C110" t="str">
            <v>ADW Denpasar</v>
          </cell>
          <cell r="D110" t="str">
            <v>ZD8A - ADW Denpasar</v>
          </cell>
        </row>
        <row r="111">
          <cell r="B111" t="str">
            <v>ZD8B</v>
          </cell>
          <cell r="C111" t="str">
            <v>DPC Singaraja</v>
          </cell>
          <cell r="D111" t="str">
            <v>ZD8B - DPC Singaraja</v>
          </cell>
        </row>
        <row r="112">
          <cell r="B112" t="str">
            <v>ZD8C</v>
          </cell>
          <cell r="C112" t="str">
            <v>ADW Mataram</v>
          </cell>
          <cell r="D112" t="str">
            <v>ZD8C - ADW Mataram</v>
          </cell>
        </row>
        <row r="113">
          <cell r="B113" t="str">
            <v>ZD8D</v>
          </cell>
          <cell r="C113" t="str">
            <v>ADW Kupang</v>
          </cell>
          <cell r="D113" t="str">
            <v>ZD8D - ADW Kupang</v>
          </cell>
        </row>
        <row r="114">
          <cell r="B114" t="str">
            <v>ZD8E</v>
          </cell>
          <cell r="C114" t="str">
            <v>DPC Ende</v>
          </cell>
          <cell r="D114" t="str">
            <v>ZD8E - DPC Ende</v>
          </cell>
        </row>
        <row r="115">
          <cell r="B115" t="str">
            <v>ZD9A</v>
          </cell>
          <cell r="C115" t="str">
            <v>ADW Pontianak</v>
          </cell>
          <cell r="D115" t="str">
            <v>ZD9A - ADW Pontianak</v>
          </cell>
        </row>
        <row r="116">
          <cell r="B116" t="str">
            <v>ZD9B</v>
          </cell>
          <cell r="C116" t="str">
            <v>ADW Sintang</v>
          </cell>
          <cell r="D116" t="str">
            <v>ZD9B - ADW Sintang</v>
          </cell>
        </row>
        <row r="117">
          <cell r="B117" t="str">
            <v>ZD9C</v>
          </cell>
          <cell r="C117" t="str">
            <v>ADW Banjarmasin</v>
          </cell>
          <cell r="D117" t="str">
            <v>ZD9C - ADW Banjarmasin</v>
          </cell>
        </row>
        <row r="118">
          <cell r="B118" t="str">
            <v>ZD9D</v>
          </cell>
          <cell r="C118" t="str">
            <v>DPC Barabai</v>
          </cell>
          <cell r="D118" t="str">
            <v>ZD9D - DPC Barabai</v>
          </cell>
        </row>
        <row r="119">
          <cell r="B119" t="str">
            <v>ZD9E</v>
          </cell>
          <cell r="C119" t="str">
            <v>ADW Palangkaraya</v>
          </cell>
          <cell r="D119" t="str">
            <v>ZD9E - ADW Palangkaraya</v>
          </cell>
        </row>
        <row r="120">
          <cell r="B120" t="str">
            <v>ZD9F</v>
          </cell>
          <cell r="C120" t="str">
            <v>ADW Samarinda</v>
          </cell>
          <cell r="D120" t="str">
            <v>ZD9F - ADW Samarinda</v>
          </cell>
        </row>
        <row r="121">
          <cell r="B121" t="str">
            <v>ZD9H</v>
          </cell>
          <cell r="C121" t="str">
            <v>ADW Balikpapan</v>
          </cell>
          <cell r="D121" t="str">
            <v>ZD9H - ADW Balikpapan</v>
          </cell>
        </row>
        <row r="122">
          <cell r="B122" t="str">
            <v>ZD9I</v>
          </cell>
          <cell r="C122" t="str">
            <v>DPC Sangatta</v>
          </cell>
          <cell r="D122" t="str">
            <v>ZD9I - DPC Sangatta</v>
          </cell>
        </row>
        <row r="123">
          <cell r="B123" t="str">
            <v>ZD9J</v>
          </cell>
          <cell r="C123" t="str">
            <v>Depo Samarinda</v>
          </cell>
          <cell r="D123" t="str">
            <v>ZD9J - Depo Samarinda</v>
          </cell>
        </row>
      </sheetData>
      <sheetData sheetId="7">
        <row r="4">
          <cell r="B4" t="str">
            <v>IDLocation</v>
          </cell>
          <cell r="C4" t="str">
            <v>LocationName</v>
          </cell>
        </row>
        <row r="5">
          <cell r="B5" t="str">
            <v>ZD0A</v>
          </cell>
          <cell r="C5" t="str">
            <v>ADW Makassar</v>
          </cell>
        </row>
        <row r="6">
          <cell r="B6" t="str">
            <v>ZD0B</v>
          </cell>
          <cell r="C6" t="str">
            <v>ADW Pare - Pare</v>
          </cell>
        </row>
        <row r="7">
          <cell r="B7" t="str">
            <v>ZD0C</v>
          </cell>
          <cell r="C7" t="str">
            <v>DPC Palopo</v>
          </cell>
        </row>
        <row r="8">
          <cell r="B8" t="str">
            <v>ZD0D</v>
          </cell>
          <cell r="C8" t="str">
            <v>ADW Manado</v>
          </cell>
        </row>
        <row r="9">
          <cell r="B9" t="str">
            <v>ZD0E</v>
          </cell>
          <cell r="C9" t="str">
            <v>ADW Ambon</v>
          </cell>
        </row>
        <row r="10">
          <cell r="B10" t="str">
            <v>ZD0F</v>
          </cell>
          <cell r="C10" t="str">
            <v>ADW Palu</v>
          </cell>
        </row>
        <row r="11">
          <cell r="B11" t="str">
            <v>ZD0G</v>
          </cell>
          <cell r="C11" t="str">
            <v>ADW Gorontalo</v>
          </cell>
        </row>
        <row r="12">
          <cell r="B12" t="str">
            <v>ZD0H</v>
          </cell>
          <cell r="C12" t="str">
            <v>ADW Ternate</v>
          </cell>
        </row>
        <row r="13">
          <cell r="B13" t="str">
            <v>ZD0I</v>
          </cell>
          <cell r="C13" t="str">
            <v>ADW Papua</v>
          </cell>
        </row>
        <row r="14">
          <cell r="B14" t="str">
            <v>ZD0J</v>
          </cell>
          <cell r="C14" t="str">
            <v>DPC Bone</v>
          </cell>
        </row>
        <row r="15">
          <cell r="B15" t="str">
            <v>ZD0K</v>
          </cell>
          <cell r="C15" t="str">
            <v>ADW Kendari</v>
          </cell>
        </row>
        <row r="16">
          <cell r="B16" t="str">
            <v>ZD0M</v>
          </cell>
          <cell r="C16" t="str">
            <v>ADW Sorong</v>
          </cell>
        </row>
        <row r="17">
          <cell r="B17" t="str">
            <v>ZD1A</v>
          </cell>
          <cell r="C17" t="str">
            <v>ADW Medan 2</v>
          </cell>
        </row>
        <row r="18">
          <cell r="B18" t="str">
            <v>ZD1B</v>
          </cell>
          <cell r="C18" t="str">
            <v>ADW Tanah Karo</v>
          </cell>
        </row>
        <row r="19">
          <cell r="B19" t="str">
            <v>ZD1C</v>
          </cell>
          <cell r="C19" t="str">
            <v>DPC Langkat</v>
          </cell>
        </row>
        <row r="20">
          <cell r="B20" t="str">
            <v>ZD1D</v>
          </cell>
          <cell r="C20" t="str">
            <v>ADW Pematang Siantar</v>
          </cell>
        </row>
        <row r="21">
          <cell r="B21" t="str">
            <v>ZD1E</v>
          </cell>
          <cell r="C21" t="str">
            <v>DPC Rantau Prapat</v>
          </cell>
        </row>
        <row r="22">
          <cell r="B22" t="str">
            <v>ZD1F</v>
          </cell>
          <cell r="C22" t="str">
            <v>ADW Banda Aceh</v>
          </cell>
        </row>
        <row r="23">
          <cell r="B23" t="str">
            <v>ZD1G</v>
          </cell>
          <cell r="C23" t="str">
            <v>DPC Meulaboh</v>
          </cell>
        </row>
        <row r="24">
          <cell r="B24" t="str">
            <v>ZD1H</v>
          </cell>
          <cell r="C24" t="str">
            <v>ADW Lhokseumawe</v>
          </cell>
        </row>
        <row r="25">
          <cell r="B25" t="str">
            <v>ZD1I</v>
          </cell>
          <cell r="C25" t="str">
            <v>DPC Langsa</v>
          </cell>
        </row>
        <row r="26">
          <cell r="B26" t="str">
            <v>ZD1J</v>
          </cell>
          <cell r="C26" t="str">
            <v>ADW Padang Sidempuan</v>
          </cell>
        </row>
        <row r="27">
          <cell r="B27" t="str">
            <v>ZD1K</v>
          </cell>
          <cell r="C27" t="str">
            <v>DPC Sibolga</v>
          </cell>
        </row>
        <row r="28">
          <cell r="B28" t="str">
            <v>ZD1L</v>
          </cell>
          <cell r="C28" t="str">
            <v>Depo Medan</v>
          </cell>
        </row>
        <row r="29">
          <cell r="B29" t="str">
            <v>ZD1M</v>
          </cell>
          <cell r="C29" t="str">
            <v>ADW Kisaran</v>
          </cell>
        </row>
        <row r="30">
          <cell r="B30" t="str">
            <v>ZD1N</v>
          </cell>
          <cell r="C30" t="str">
            <v>ADW Medan 1</v>
          </cell>
        </row>
        <row r="31">
          <cell r="B31" t="str">
            <v>ZD2A</v>
          </cell>
          <cell r="C31" t="str">
            <v>ADW Padang</v>
          </cell>
        </row>
        <row r="32">
          <cell r="B32" t="str">
            <v>ZD2B</v>
          </cell>
          <cell r="C32" t="str">
            <v>DPC Solok</v>
          </cell>
        </row>
        <row r="33">
          <cell r="B33" t="str">
            <v>ZD2C</v>
          </cell>
          <cell r="C33" t="str">
            <v>ADW Bukit Tinggi</v>
          </cell>
        </row>
        <row r="34">
          <cell r="B34" t="str">
            <v>ZD2D</v>
          </cell>
          <cell r="C34" t="str">
            <v>ADW Pekanbaru</v>
          </cell>
        </row>
        <row r="35">
          <cell r="B35" t="str">
            <v>ZD2E</v>
          </cell>
          <cell r="C35" t="str">
            <v>ADW Duri</v>
          </cell>
        </row>
        <row r="36">
          <cell r="B36" t="str">
            <v>ZD2F</v>
          </cell>
          <cell r="C36" t="str">
            <v>ADW Air Molek</v>
          </cell>
        </row>
        <row r="37">
          <cell r="B37" t="str">
            <v>ZD2G</v>
          </cell>
          <cell r="C37" t="str">
            <v>ADW Batam</v>
          </cell>
        </row>
        <row r="38">
          <cell r="B38" t="str">
            <v>ZD2H</v>
          </cell>
          <cell r="C38" t="str">
            <v>DPC Tanjung Pinang</v>
          </cell>
        </row>
        <row r="39">
          <cell r="B39" t="str">
            <v>ZD2I</v>
          </cell>
          <cell r="C39" t="str">
            <v>DPC Tanjung Balai Karimun</v>
          </cell>
        </row>
        <row r="40">
          <cell r="B40" t="str">
            <v>ZD3B</v>
          </cell>
          <cell r="C40" t="str">
            <v>ADW Lampung</v>
          </cell>
        </row>
        <row r="41">
          <cell r="B41" t="str">
            <v>ZD3C</v>
          </cell>
          <cell r="C41" t="str">
            <v>ADW Kota Bumi</v>
          </cell>
        </row>
        <row r="42">
          <cell r="B42" t="str">
            <v>ZD3D</v>
          </cell>
          <cell r="C42" t="str">
            <v>ADW Palembang</v>
          </cell>
        </row>
        <row r="43">
          <cell r="B43" t="str">
            <v>ZD3E</v>
          </cell>
          <cell r="C43" t="str">
            <v>ADW Lahat</v>
          </cell>
        </row>
        <row r="44">
          <cell r="B44" t="str">
            <v>ZD3F</v>
          </cell>
          <cell r="C44" t="str">
            <v>DPC Batu Raja</v>
          </cell>
        </row>
        <row r="45">
          <cell r="B45" t="str">
            <v>ZD3G</v>
          </cell>
          <cell r="C45" t="str">
            <v>ADW Jambi</v>
          </cell>
        </row>
        <row r="46">
          <cell r="B46" t="str">
            <v>ZD3H</v>
          </cell>
          <cell r="C46" t="str">
            <v>ADW Muara Bungo</v>
          </cell>
        </row>
        <row r="47">
          <cell r="B47" t="str">
            <v>ZD3I</v>
          </cell>
          <cell r="C47" t="str">
            <v>ADW Bengkulu</v>
          </cell>
        </row>
        <row r="48">
          <cell r="B48" t="str">
            <v>ZD3J</v>
          </cell>
          <cell r="C48" t="str">
            <v>ADW Pangkal Pinang</v>
          </cell>
        </row>
        <row r="49">
          <cell r="B49" t="str">
            <v>ZD3K</v>
          </cell>
          <cell r="C49" t="str">
            <v>DPC Lubuk Linggau</v>
          </cell>
        </row>
        <row r="50">
          <cell r="B50" t="str">
            <v>ZD3L</v>
          </cell>
          <cell r="C50" t="str">
            <v>ADW Metro</v>
          </cell>
        </row>
        <row r="51">
          <cell r="B51" t="str">
            <v>ZD3M</v>
          </cell>
          <cell r="C51" t="str">
            <v>DPC Pringsewu</v>
          </cell>
        </row>
        <row r="52">
          <cell r="B52" t="str">
            <v>ZD3N</v>
          </cell>
          <cell r="C52" t="str">
            <v>DPC Kalianda</v>
          </cell>
        </row>
        <row r="53">
          <cell r="B53" t="str">
            <v>ZD3O</v>
          </cell>
          <cell r="C53" t="str">
            <v>DPC Tuba</v>
          </cell>
        </row>
        <row r="54">
          <cell r="B54" t="str">
            <v>ZD3Q</v>
          </cell>
          <cell r="C54" t="str">
            <v>ADW Palembang 2</v>
          </cell>
        </row>
        <row r="55">
          <cell r="B55" t="str">
            <v>ZD4A</v>
          </cell>
          <cell r="C55" t="str">
            <v>DC Karawang Lot. 17</v>
          </cell>
        </row>
        <row r="56">
          <cell r="B56" t="str">
            <v>ZD4B</v>
          </cell>
          <cell r="C56" t="str">
            <v>DC Karawang Lot. 41</v>
          </cell>
        </row>
        <row r="57">
          <cell r="B57" t="str">
            <v>ZD4C</v>
          </cell>
          <cell r="C57" t="str">
            <v>DPC Jakarta Utara (T)</v>
          </cell>
        </row>
        <row r="58">
          <cell r="B58" t="str">
            <v>ZD4D</v>
          </cell>
          <cell r="C58" t="str">
            <v>ADW Jakarta Barat</v>
          </cell>
        </row>
        <row r="59">
          <cell r="B59" t="str">
            <v>ZD4E</v>
          </cell>
          <cell r="C59" t="str">
            <v>ADW Tangerang</v>
          </cell>
        </row>
        <row r="60">
          <cell r="B60" t="str">
            <v>ZD4F</v>
          </cell>
          <cell r="C60" t="str">
            <v>DPC Jakarta Timur</v>
          </cell>
        </row>
        <row r="61">
          <cell r="B61" t="str">
            <v>ZD4G</v>
          </cell>
          <cell r="C61" t="str">
            <v>ADW Bogor</v>
          </cell>
        </row>
        <row r="62">
          <cell r="B62" t="str">
            <v>ZD4H</v>
          </cell>
          <cell r="C62" t="str">
            <v>ADW Jakarta Timur A</v>
          </cell>
        </row>
        <row r="63">
          <cell r="B63" t="str">
            <v>ZD4I</v>
          </cell>
          <cell r="C63" t="str">
            <v>ADW Karawang</v>
          </cell>
        </row>
        <row r="64">
          <cell r="B64" t="str">
            <v>ZD4J</v>
          </cell>
          <cell r="C64" t="str">
            <v>ADW Serang</v>
          </cell>
        </row>
        <row r="65">
          <cell r="B65" t="str">
            <v>ZD4K</v>
          </cell>
          <cell r="C65" t="str">
            <v>ADW Jakarta Pusat</v>
          </cell>
        </row>
        <row r="66">
          <cell r="B66" t="str">
            <v>ZD4L</v>
          </cell>
          <cell r="C66" t="str">
            <v>DPC Jakarta Pusat A</v>
          </cell>
        </row>
        <row r="67">
          <cell r="B67" t="str">
            <v>ZD4M</v>
          </cell>
          <cell r="C67" t="str">
            <v>ADW Jakarta Selatan</v>
          </cell>
        </row>
        <row r="68">
          <cell r="B68" t="str">
            <v>ZD4N</v>
          </cell>
          <cell r="C68" t="str">
            <v>ADW Depok</v>
          </cell>
        </row>
        <row r="69">
          <cell r="B69" t="str">
            <v>ZD4O</v>
          </cell>
          <cell r="C69" t="str">
            <v>ADW Bekasi</v>
          </cell>
        </row>
        <row r="70">
          <cell r="B70" t="str">
            <v>ZD4P</v>
          </cell>
          <cell r="C70" t="str">
            <v>DPC Bogor</v>
          </cell>
        </row>
        <row r="71">
          <cell r="B71" t="str">
            <v>ZD4Q</v>
          </cell>
          <cell r="C71" t="str">
            <v>DPC Tangerang A</v>
          </cell>
        </row>
        <row r="72">
          <cell r="B72" t="str">
            <v>ZD4R</v>
          </cell>
          <cell r="C72" t="str">
            <v>ADW Labuan</v>
          </cell>
        </row>
        <row r="73">
          <cell r="B73" t="str">
            <v>ZD4S</v>
          </cell>
          <cell r="C73" t="str">
            <v>DPC Pondok Pinang</v>
          </cell>
        </row>
        <row r="74">
          <cell r="B74" t="str">
            <v>ZD4T</v>
          </cell>
          <cell r="C74" t="str">
            <v>ADW Jakarta Utara</v>
          </cell>
        </row>
        <row r="75">
          <cell r="B75" t="str">
            <v>ZD5A</v>
          </cell>
          <cell r="C75" t="str">
            <v>ADW Bandung</v>
          </cell>
        </row>
        <row r="76">
          <cell r="B76" t="str">
            <v>ZD5B</v>
          </cell>
          <cell r="C76" t="str">
            <v>ADW Bandung 3</v>
          </cell>
        </row>
        <row r="77">
          <cell r="B77" t="str">
            <v>ZD5C</v>
          </cell>
          <cell r="C77" t="str">
            <v>ADW Sukabumi</v>
          </cell>
        </row>
        <row r="78">
          <cell r="B78" t="str">
            <v>ZD5D</v>
          </cell>
          <cell r="C78" t="str">
            <v>ADW Tasikmalaya</v>
          </cell>
        </row>
        <row r="79">
          <cell r="B79" t="str">
            <v>ZD5E</v>
          </cell>
          <cell r="C79" t="str">
            <v>ADW Garut</v>
          </cell>
        </row>
        <row r="80">
          <cell r="B80" t="str">
            <v>ZD5F</v>
          </cell>
          <cell r="C80" t="str">
            <v>ADW Cirebon</v>
          </cell>
        </row>
        <row r="81">
          <cell r="B81" t="str">
            <v>ZD5G</v>
          </cell>
          <cell r="C81" t="str">
            <v>DPC Indramayu</v>
          </cell>
        </row>
        <row r="82">
          <cell r="B82" t="str">
            <v>ZD5H</v>
          </cell>
          <cell r="C82" t="str">
            <v>ADW Purwokerto</v>
          </cell>
        </row>
        <row r="83">
          <cell r="B83" t="str">
            <v>ZD5I</v>
          </cell>
          <cell r="C83" t="str">
            <v>Dunex - Yos Sudarso</v>
          </cell>
        </row>
        <row r="84">
          <cell r="B84" t="str">
            <v>ZD5J</v>
          </cell>
          <cell r="C84" t="str">
            <v>Kiat Ananda (Naragong-Bekasi)</v>
          </cell>
        </row>
        <row r="85">
          <cell r="B85" t="str">
            <v>ZD5K</v>
          </cell>
          <cell r="C85" t="str">
            <v>DPC Cianjur</v>
          </cell>
        </row>
        <row r="86">
          <cell r="B86" t="str">
            <v>ZD5M</v>
          </cell>
          <cell r="C86" t="str">
            <v>DPC Sumedang</v>
          </cell>
        </row>
        <row r="87">
          <cell r="B87" t="str">
            <v>ZD6B</v>
          </cell>
          <cell r="C87" t="str">
            <v>ADW Semarang</v>
          </cell>
        </row>
        <row r="88">
          <cell r="B88" t="str">
            <v>ZD6C</v>
          </cell>
          <cell r="C88" t="str">
            <v>ADW Tegal</v>
          </cell>
        </row>
        <row r="89">
          <cell r="B89" t="str">
            <v>ZD6D</v>
          </cell>
          <cell r="C89" t="str">
            <v>DPC Pekalongan</v>
          </cell>
        </row>
        <row r="90">
          <cell r="B90" t="str">
            <v>ZD6E</v>
          </cell>
          <cell r="C90" t="str">
            <v>ADW Pati</v>
          </cell>
        </row>
        <row r="91">
          <cell r="B91" t="str">
            <v>ZD6F</v>
          </cell>
          <cell r="C91" t="str">
            <v>ADW Yogyakarta</v>
          </cell>
        </row>
        <row r="92">
          <cell r="B92" t="str">
            <v>ZD6G</v>
          </cell>
          <cell r="C92" t="str">
            <v>ADW Magelang</v>
          </cell>
        </row>
        <row r="93">
          <cell r="B93" t="str">
            <v>ZD6H</v>
          </cell>
          <cell r="C93" t="str">
            <v>ADW Surakarta</v>
          </cell>
        </row>
        <row r="94">
          <cell r="B94" t="str">
            <v>ZD6I</v>
          </cell>
          <cell r="C94" t="str">
            <v>ADW Madiun</v>
          </cell>
        </row>
        <row r="95">
          <cell r="B95" t="str">
            <v>ZD6J</v>
          </cell>
          <cell r="C95" t="str">
            <v>ADW Salatiga</v>
          </cell>
        </row>
        <row r="96">
          <cell r="B96" t="str">
            <v>ZD6K</v>
          </cell>
          <cell r="C96" t="str">
            <v>DPC Cilacap</v>
          </cell>
        </row>
        <row r="97">
          <cell r="B97" t="str">
            <v>ZD7B</v>
          </cell>
          <cell r="C97" t="str">
            <v>ADW Surabaya</v>
          </cell>
        </row>
        <row r="98">
          <cell r="B98" t="str">
            <v>ZD7C</v>
          </cell>
          <cell r="C98" t="str">
            <v>ADW Tuban</v>
          </cell>
        </row>
        <row r="99">
          <cell r="B99" t="str">
            <v>ZD7D</v>
          </cell>
          <cell r="C99" t="str">
            <v>ADW Malang</v>
          </cell>
        </row>
        <row r="100">
          <cell r="B100" t="str">
            <v>ZD7E</v>
          </cell>
          <cell r="C100" t="str">
            <v>ADW Kediri</v>
          </cell>
        </row>
        <row r="101">
          <cell r="B101" t="str">
            <v>ZD7F</v>
          </cell>
          <cell r="C101" t="str">
            <v>ADW Pamekasan</v>
          </cell>
        </row>
        <row r="102">
          <cell r="B102" t="str">
            <v>ZD7G</v>
          </cell>
          <cell r="C102" t="str">
            <v>ADW Jember</v>
          </cell>
        </row>
        <row r="103">
          <cell r="B103" t="str">
            <v>ZD7H</v>
          </cell>
          <cell r="C103" t="str">
            <v>DPC Banyuwangi</v>
          </cell>
        </row>
        <row r="104">
          <cell r="B104" t="str">
            <v>ZD7I</v>
          </cell>
          <cell r="C104" t="str">
            <v>ADW Probolinggo</v>
          </cell>
        </row>
        <row r="105">
          <cell r="B105" t="str">
            <v>ZD7J</v>
          </cell>
          <cell r="C105" t="str">
            <v>DC Sukorejo</v>
          </cell>
        </row>
        <row r="106">
          <cell r="B106" t="str">
            <v>ZD7L</v>
          </cell>
          <cell r="C106" t="str">
            <v>ADW Gresik</v>
          </cell>
        </row>
        <row r="107">
          <cell r="B107" t="str">
            <v>ZD7M</v>
          </cell>
          <cell r="C107" t="str">
            <v>ADW Mojokerto</v>
          </cell>
        </row>
        <row r="108">
          <cell r="B108" t="str">
            <v>ZD7N</v>
          </cell>
          <cell r="C108" t="str">
            <v>ADW Sidoarjo</v>
          </cell>
        </row>
        <row r="109">
          <cell r="B109" t="str">
            <v>ZD7O</v>
          </cell>
          <cell r="C109" t="str">
            <v>DC Surabaya - Margomulyo</v>
          </cell>
        </row>
        <row r="110">
          <cell r="B110" t="str">
            <v>ZD8A</v>
          </cell>
          <cell r="C110" t="str">
            <v>ADW Denpasar</v>
          </cell>
        </row>
        <row r="111">
          <cell r="B111" t="str">
            <v>ZD8B</v>
          </cell>
          <cell r="C111" t="str">
            <v>DPC Singaraja</v>
          </cell>
        </row>
        <row r="112">
          <cell r="B112" t="str">
            <v>ZD8C</v>
          </cell>
          <cell r="C112" t="str">
            <v>ADW Mataram</v>
          </cell>
        </row>
        <row r="113">
          <cell r="B113" t="str">
            <v>ZD8D</v>
          </cell>
          <cell r="C113" t="str">
            <v>ADW Kupang</v>
          </cell>
        </row>
        <row r="114">
          <cell r="B114" t="str">
            <v>ZD8E</v>
          </cell>
          <cell r="C114" t="str">
            <v>DPC Ende</v>
          </cell>
        </row>
        <row r="115">
          <cell r="B115" t="str">
            <v>ZD9A</v>
          </cell>
          <cell r="C115" t="str">
            <v>ADW Pontianak</v>
          </cell>
        </row>
        <row r="116">
          <cell r="B116" t="str">
            <v>ZD9B</v>
          </cell>
          <cell r="C116" t="str">
            <v>ADW Sintang</v>
          </cell>
        </row>
        <row r="117">
          <cell r="B117" t="str">
            <v>ZD9C</v>
          </cell>
          <cell r="C117" t="str">
            <v>ADW Banjarmasin</v>
          </cell>
        </row>
        <row r="118">
          <cell r="B118" t="str">
            <v>ZD9D</v>
          </cell>
          <cell r="C118" t="str">
            <v>DPC Barabai</v>
          </cell>
        </row>
        <row r="119">
          <cell r="B119" t="str">
            <v>ZD9E</v>
          </cell>
          <cell r="C119" t="str">
            <v>ADW Palangkaraya</v>
          </cell>
        </row>
        <row r="120">
          <cell r="B120" t="str">
            <v>ZD9F</v>
          </cell>
          <cell r="C120" t="str">
            <v>ADW Samarinda</v>
          </cell>
        </row>
        <row r="121">
          <cell r="B121" t="str">
            <v>ZD9H</v>
          </cell>
          <cell r="C121" t="str">
            <v>ADW Balikpapan</v>
          </cell>
        </row>
        <row r="122">
          <cell r="B122" t="str">
            <v>ZD9I</v>
          </cell>
          <cell r="C122" t="str">
            <v>DPC Sangatta</v>
          </cell>
        </row>
        <row r="123">
          <cell r="B123" t="str">
            <v>ZD9J</v>
          </cell>
          <cell r="C123" t="str">
            <v>Depo Samarinda</v>
          </cell>
        </row>
      </sheetData>
      <sheetData sheetId="8">
        <row r="3">
          <cell r="B3" t="str">
            <v>IDEquipmentType</v>
          </cell>
          <cell r="C3" t="str">
            <v>IDLocation</v>
          </cell>
          <cell r="D3" t="str">
            <v>Name</v>
          </cell>
        </row>
        <row r="4">
          <cell r="B4">
            <v>1772</v>
          </cell>
          <cell r="C4" t="str">
            <v>ZD0A</v>
          </cell>
          <cell r="D4" t="str">
            <v>ZD0A-HThermometer-1</v>
          </cell>
        </row>
        <row r="5">
          <cell r="B5">
            <v>1773</v>
          </cell>
          <cell r="C5" t="str">
            <v>ZD0A</v>
          </cell>
          <cell r="D5" t="str">
            <v>ZD0A-HThermometer-2</v>
          </cell>
        </row>
        <row r="6">
          <cell r="B6">
            <v>1774</v>
          </cell>
          <cell r="C6" t="str">
            <v>ZD0B</v>
          </cell>
          <cell r="D6" t="str">
            <v>ZD0B-HThermometer-1</v>
          </cell>
        </row>
        <row r="7">
          <cell r="B7">
            <v>1775</v>
          </cell>
          <cell r="C7" t="str">
            <v>ZD0B</v>
          </cell>
          <cell r="D7" t="str">
            <v>ZD0B-HThermometer-2</v>
          </cell>
        </row>
        <row r="8">
          <cell r="B8">
            <v>1776</v>
          </cell>
          <cell r="C8" t="str">
            <v>ZD0C</v>
          </cell>
          <cell r="D8" t="str">
            <v>ZD0C-HThermometer-1</v>
          </cell>
        </row>
        <row r="9">
          <cell r="B9">
            <v>1777</v>
          </cell>
          <cell r="C9" t="str">
            <v>ZD0D</v>
          </cell>
          <cell r="D9" t="str">
            <v>ZD0D-HThermometer-1</v>
          </cell>
        </row>
        <row r="10">
          <cell r="B10">
            <v>1778</v>
          </cell>
          <cell r="C10" t="str">
            <v>ZD0D</v>
          </cell>
          <cell r="D10" t="str">
            <v>ZD0D-HThermometer-2</v>
          </cell>
        </row>
        <row r="11">
          <cell r="B11">
            <v>1779</v>
          </cell>
          <cell r="C11" t="str">
            <v>ZD0E</v>
          </cell>
          <cell r="D11" t="str">
            <v>ZD0E-HThermometer-1</v>
          </cell>
        </row>
        <row r="12">
          <cell r="B12">
            <v>1780</v>
          </cell>
          <cell r="C12" t="str">
            <v>ZD0F</v>
          </cell>
          <cell r="D12" t="str">
            <v>ZD0F-HThermometer-1</v>
          </cell>
        </row>
        <row r="13">
          <cell r="B13">
            <v>1781</v>
          </cell>
          <cell r="C13" t="str">
            <v>ZD0F</v>
          </cell>
          <cell r="D13" t="str">
            <v>ZD0F-HThermometer-2</v>
          </cell>
        </row>
        <row r="14">
          <cell r="B14">
            <v>1782</v>
          </cell>
          <cell r="C14" t="str">
            <v>ZD0G</v>
          </cell>
          <cell r="D14" t="str">
            <v>ZD0G-HThermometer-1</v>
          </cell>
        </row>
        <row r="15">
          <cell r="B15">
            <v>1783</v>
          </cell>
          <cell r="C15" t="str">
            <v>ZD0G</v>
          </cell>
          <cell r="D15" t="str">
            <v>ZD0G-HThermometer-2</v>
          </cell>
        </row>
        <row r="16">
          <cell r="B16">
            <v>1784</v>
          </cell>
          <cell r="C16" t="str">
            <v>ZD0H</v>
          </cell>
          <cell r="D16" t="str">
            <v>ZD0H-HThermometer-1</v>
          </cell>
        </row>
        <row r="17">
          <cell r="B17">
            <v>1785</v>
          </cell>
          <cell r="C17" t="str">
            <v>ZD0H</v>
          </cell>
          <cell r="D17" t="str">
            <v>ZD0H-HThermometer-2</v>
          </cell>
        </row>
        <row r="18">
          <cell r="B18">
            <v>1786</v>
          </cell>
          <cell r="C18" t="str">
            <v>ZD0J</v>
          </cell>
          <cell r="D18" t="str">
            <v>ZD0J-HThermometer-1</v>
          </cell>
        </row>
        <row r="19">
          <cell r="B19">
            <v>1787</v>
          </cell>
          <cell r="C19" t="str">
            <v>ZD1A</v>
          </cell>
          <cell r="D19" t="str">
            <v>ZD1A-HThermometer-1</v>
          </cell>
        </row>
        <row r="20">
          <cell r="B20">
            <v>1788</v>
          </cell>
          <cell r="C20" t="str">
            <v>ZD1B</v>
          </cell>
          <cell r="D20" t="str">
            <v>ZD1B-HThermometer-1</v>
          </cell>
        </row>
        <row r="21">
          <cell r="B21">
            <v>1789</v>
          </cell>
          <cell r="C21" t="str">
            <v>ZD1C</v>
          </cell>
          <cell r="D21" t="str">
            <v>ZD1C-HThermometer-1</v>
          </cell>
        </row>
        <row r="22">
          <cell r="B22">
            <v>1790</v>
          </cell>
          <cell r="C22" t="str">
            <v>ZD1D</v>
          </cell>
          <cell r="D22" t="str">
            <v>ZD1D-HThermometer-1</v>
          </cell>
        </row>
        <row r="23">
          <cell r="B23">
            <v>1791</v>
          </cell>
          <cell r="C23" t="str">
            <v>ZD1E</v>
          </cell>
          <cell r="D23" t="str">
            <v>ZD1E-HThermometer-1</v>
          </cell>
        </row>
        <row r="24">
          <cell r="B24">
            <v>1792</v>
          </cell>
          <cell r="C24" t="str">
            <v>ZD1F</v>
          </cell>
          <cell r="D24" t="str">
            <v>ZD1F-HThermometer-1</v>
          </cell>
        </row>
        <row r="25">
          <cell r="B25">
            <v>1793</v>
          </cell>
          <cell r="C25" t="str">
            <v>ZD1G</v>
          </cell>
          <cell r="D25" t="str">
            <v>ZD1G-HThermometer-1</v>
          </cell>
        </row>
        <row r="26">
          <cell r="B26">
            <v>1794</v>
          </cell>
          <cell r="C26" t="str">
            <v>ZD1H</v>
          </cell>
          <cell r="D26" t="str">
            <v>ZD1H-HThermometer-1</v>
          </cell>
        </row>
        <row r="27">
          <cell r="B27">
            <v>1795</v>
          </cell>
          <cell r="C27" t="str">
            <v>ZD1I</v>
          </cell>
          <cell r="D27" t="str">
            <v>ZD1I-HThermometer-1</v>
          </cell>
        </row>
        <row r="28">
          <cell r="B28">
            <v>1796</v>
          </cell>
          <cell r="C28" t="str">
            <v>ZD1J</v>
          </cell>
          <cell r="D28" t="str">
            <v>ZD1J-HThermometer-1</v>
          </cell>
        </row>
        <row r="29">
          <cell r="B29">
            <v>1797</v>
          </cell>
          <cell r="C29" t="str">
            <v>ZD1K</v>
          </cell>
          <cell r="D29" t="str">
            <v>ZD1K-HThermometer-1</v>
          </cell>
        </row>
        <row r="30">
          <cell r="B30">
            <v>1798</v>
          </cell>
          <cell r="C30" t="str">
            <v>ZD1L</v>
          </cell>
          <cell r="D30" t="str">
            <v>ZD1L-HThermometer-1</v>
          </cell>
        </row>
        <row r="31">
          <cell r="B31">
            <v>1799</v>
          </cell>
          <cell r="C31" t="str">
            <v>ZD1M</v>
          </cell>
          <cell r="D31" t="str">
            <v>ZD1M-HThermometer-1</v>
          </cell>
        </row>
        <row r="32">
          <cell r="B32">
            <v>1801</v>
          </cell>
          <cell r="C32" t="str">
            <v>ZD1N</v>
          </cell>
          <cell r="D32" t="str">
            <v>ZD1N-HThermometer-1</v>
          </cell>
        </row>
        <row r="33">
          <cell r="B33">
            <v>1802</v>
          </cell>
          <cell r="C33" t="str">
            <v>ZD2A</v>
          </cell>
          <cell r="D33" t="str">
            <v>ZD2A-HThermometer-1</v>
          </cell>
        </row>
        <row r="34">
          <cell r="B34">
            <v>1803</v>
          </cell>
          <cell r="C34" t="str">
            <v>ZD2A</v>
          </cell>
          <cell r="D34" t="str">
            <v>ZD2A-HThermometer-2</v>
          </cell>
        </row>
        <row r="35">
          <cell r="B35">
            <v>1804</v>
          </cell>
          <cell r="C35" t="str">
            <v>ZD2B</v>
          </cell>
          <cell r="D35" t="str">
            <v>ZD2B-HThermometer-1</v>
          </cell>
        </row>
        <row r="36">
          <cell r="B36">
            <v>1805</v>
          </cell>
          <cell r="C36" t="str">
            <v>ZD2B</v>
          </cell>
          <cell r="D36" t="str">
            <v>ZD2B-HThermometer-2</v>
          </cell>
        </row>
        <row r="37">
          <cell r="B37">
            <v>1806</v>
          </cell>
          <cell r="C37" t="str">
            <v>ZD2C</v>
          </cell>
          <cell r="D37" t="str">
            <v>ZD2C-HThermometer-1</v>
          </cell>
        </row>
        <row r="38">
          <cell r="B38">
            <v>1807</v>
          </cell>
          <cell r="C38" t="str">
            <v>ZD2C</v>
          </cell>
          <cell r="D38" t="str">
            <v>ZD2C-HThermometer-2</v>
          </cell>
        </row>
        <row r="39">
          <cell r="B39">
            <v>1808</v>
          </cell>
          <cell r="C39" t="str">
            <v>ZD2D</v>
          </cell>
          <cell r="D39" t="str">
            <v>ZD2D-HThermometer-1</v>
          </cell>
        </row>
        <row r="40">
          <cell r="B40">
            <v>1809</v>
          </cell>
          <cell r="C40" t="str">
            <v>ZD2D</v>
          </cell>
          <cell r="D40" t="str">
            <v>ZD2D-HThermometer-2</v>
          </cell>
        </row>
        <row r="41">
          <cell r="B41">
            <v>1810</v>
          </cell>
          <cell r="C41" t="str">
            <v>ZD2E</v>
          </cell>
          <cell r="D41" t="str">
            <v>ZD2E-HThermometer-1</v>
          </cell>
        </row>
        <row r="42">
          <cell r="B42">
            <v>1811</v>
          </cell>
          <cell r="C42" t="str">
            <v>ZD2E</v>
          </cell>
          <cell r="D42" t="str">
            <v>ZD2E-HThermometer-2</v>
          </cell>
        </row>
        <row r="43">
          <cell r="B43">
            <v>1812</v>
          </cell>
          <cell r="C43" t="str">
            <v>ZD2F</v>
          </cell>
          <cell r="D43" t="str">
            <v>ZD2F-HThermometer-1</v>
          </cell>
        </row>
        <row r="44">
          <cell r="B44">
            <v>1813</v>
          </cell>
          <cell r="C44" t="str">
            <v>ZD2F</v>
          </cell>
          <cell r="D44" t="str">
            <v>ZD2F-HThermometer-2</v>
          </cell>
        </row>
        <row r="45">
          <cell r="B45">
            <v>1814</v>
          </cell>
          <cell r="C45" t="str">
            <v>ZD2G</v>
          </cell>
          <cell r="D45" t="str">
            <v>ZD2G-HThermometer-1</v>
          </cell>
        </row>
        <row r="46">
          <cell r="B46">
            <v>1815</v>
          </cell>
          <cell r="C46" t="str">
            <v>ZD2G</v>
          </cell>
          <cell r="D46" t="str">
            <v>ZD2G-HThermometer-2</v>
          </cell>
        </row>
        <row r="47">
          <cell r="B47">
            <v>1816</v>
          </cell>
          <cell r="C47" t="str">
            <v>ZD3B</v>
          </cell>
          <cell r="D47" t="str">
            <v>ZD3B-HThermometer-1</v>
          </cell>
        </row>
        <row r="48">
          <cell r="B48">
            <v>1817</v>
          </cell>
          <cell r="C48" t="str">
            <v>ZD3B</v>
          </cell>
          <cell r="D48" t="str">
            <v>ZD3B-HThermometer-2</v>
          </cell>
        </row>
        <row r="49">
          <cell r="B49">
            <v>1818</v>
          </cell>
          <cell r="C49" t="str">
            <v>ZD3C</v>
          </cell>
          <cell r="D49" t="str">
            <v>ZD3C-HThermometer-1</v>
          </cell>
        </row>
        <row r="50">
          <cell r="B50">
            <v>1819</v>
          </cell>
          <cell r="C50" t="str">
            <v>ZD3D</v>
          </cell>
          <cell r="D50" t="str">
            <v>ZD3D-HThermometer-1</v>
          </cell>
        </row>
        <row r="51">
          <cell r="B51">
            <v>1820</v>
          </cell>
          <cell r="C51" t="str">
            <v>ZD3D</v>
          </cell>
          <cell r="D51" t="str">
            <v>ZD3D-HThermometer-2</v>
          </cell>
        </row>
        <row r="52">
          <cell r="B52">
            <v>1821</v>
          </cell>
          <cell r="C52" t="str">
            <v>ZD3D</v>
          </cell>
          <cell r="D52" t="str">
            <v>ZD3D-HThermometer-3</v>
          </cell>
        </row>
        <row r="53">
          <cell r="B53">
            <v>1822</v>
          </cell>
          <cell r="C53" t="str">
            <v>ZD3D</v>
          </cell>
          <cell r="D53" t="str">
            <v>ZD3D-HThermometer-4</v>
          </cell>
        </row>
        <row r="54">
          <cell r="B54">
            <v>1823</v>
          </cell>
          <cell r="C54" t="str">
            <v>ZD3E</v>
          </cell>
          <cell r="D54" t="str">
            <v>ZD3E-HThermometer-1</v>
          </cell>
        </row>
        <row r="55">
          <cell r="B55">
            <v>1824</v>
          </cell>
          <cell r="C55" t="str">
            <v>ZD3E</v>
          </cell>
          <cell r="D55" t="str">
            <v>ZD3E-HThermometer-2</v>
          </cell>
        </row>
        <row r="56">
          <cell r="B56">
            <v>1825</v>
          </cell>
          <cell r="C56" t="str">
            <v>ZD3F</v>
          </cell>
          <cell r="D56" t="str">
            <v>ZD3F-HThermometer-1</v>
          </cell>
        </row>
        <row r="57">
          <cell r="B57">
            <v>1826</v>
          </cell>
          <cell r="C57" t="str">
            <v>ZD3F</v>
          </cell>
          <cell r="D57" t="str">
            <v>ZD3F-HThermometer-2</v>
          </cell>
        </row>
        <row r="58">
          <cell r="B58">
            <v>1827</v>
          </cell>
          <cell r="C58" t="str">
            <v>ZD3G</v>
          </cell>
          <cell r="D58" t="str">
            <v>ZD3G-HThermometer-1</v>
          </cell>
        </row>
        <row r="59">
          <cell r="B59">
            <v>1828</v>
          </cell>
          <cell r="C59" t="str">
            <v>ZD3G</v>
          </cell>
          <cell r="D59" t="str">
            <v>ZD3G-HThermometer-2</v>
          </cell>
        </row>
        <row r="60">
          <cell r="B60">
            <v>1829</v>
          </cell>
          <cell r="C60" t="str">
            <v>ZD3H</v>
          </cell>
          <cell r="D60" t="str">
            <v>ZD3H-HThermometer-1</v>
          </cell>
        </row>
        <row r="61">
          <cell r="B61">
            <v>1830</v>
          </cell>
          <cell r="C61" t="str">
            <v>ZD3I</v>
          </cell>
          <cell r="D61" t="str">
            <v>ZD3I-HThermometer-1</v>
          </cell>
        </row>
        <row r="62">
          <cell r="B62">
            <v>1831</v>
          </cell>
          <cell r="C62" t="str">
            <v>ZD3K</v>
          </cell>
          <cell r="D62" t="str">
            <v>ZD3K-HThermometer-1</v>
          </cell>
        </row>
        <row r="63">
          <cell r="B63">
            <v>1832</v>
          </cell>
          <cell r="C63" t="str">
            <v>ZD3L</v>
          </cell>
          <cell r="D63" t="str">
            <v>ZD3L-HThermometer-1</v>
          </cell>
        </row>
        <row r="64">
          <cell r="B64">
            <v>1833</v>
          </cell>
          <cell r="C64" t="str">
            <v>ZD3L</v>
          </cell>
          <cell r="D64" t="str">
            <v>ZD3L-HThermometer-2</v>
          </cell>
        </row>
        <row r="65">
          <cell r="B65">
            <v>1834</v>
          </cell>
          <cell r="C65" t="str">
            <v>ZD3L</v>
          </cell>
          <cell r="D65" t="str">
            <v>ZD3L-HThermometer-3</v>
          </cell>
        </row>
        <row r="66">
          <cell r="B66">
            <v>1835</v>
          </cell>
          <cell r="C66" t="str">
            <v>ZD3M</v>
          </cell>
          <cell r="D66" t="str">
            <v>ZD3M-HThermometer-1</v>
          </cell>
        </row>
        <row r="67">
          <cell r="B67">
            <v>1836</v>
          </cell>
          <cell r="C67" t="str">
            <v>ZD3N</v>
          </cell>
          <cell r="D67" t="str">
            <v>ZD3N-HThermometer-1</v>
          </cell>
        </row>
        <row r="68">
          <cell r="B68">
            <v>1837</v>
          </cell>
          <cell r="C68" t="str">
            <v>ZD3N</v>
          </cell>
          <cell r="D68" t="str">
            <v>ZD3N-HThermometer-2</v>
          </cell>
        </row>
        <row r="69">
          <cell r="B69">
            <v>1838</v>
          </cell>
          <cell r="C69" t="str">
            <v>ZD3O</v>
          </cell>
          <cell r="D69" t="str">
            <v>ZD3O-HThermometer-1</v>
          </cell>
        </row>
        <row r="70">
          <cell r="B70">
            <v>1839</v>
          </cell>
          <cell r="C70" t="str">
            <v>ZD3O</v>
          </cell>
          <cell r="D70" t="str">
            <v>ZD3O-HThermometer-2</v>
          </cell>
        </row>
        <row r="71">
          <cell r="B71">
            <v>1840</v>
          </cell>
          <cell r="C71" t="str">
            <v>ZD3Q</v>
          </cell>
          <cell r="D71" t="str">
            <v>ZD3Q-HThermometer-1</v>
          </cell>
        </row>
        <row r="72">
          <cell r="B72">
            <v>1841</v>
          </cell>
          <cell r="C72" t="str">
            <v>ZD4A</v>
          </cell>
          <cell r="D72" t="str">
            <v>ZD4A-HThermometer-1</v>
          </cell>
        </row>
        <row r="73">
          <cell r="B73">
            <v>1842</v>
          </cell>
          <cell r="C73" t="str">
            <v>ZD4A</v>
          </cell>
          <cell r="D73" t="str">
            <v>ZD4A-HThermometer-2</v>
          </cell>
        </row>
        <row r="74">
          <cell r="B74">
            <v>1843</v>
          </cell>
          <cell r="C74" t="str">
            <v>ZD4A</v>
          </cell>
          <cell r="D74" t="str">
            <v>ZD4A-HThermometer-3</v>
          </cell>
        </row>
        <row r="75">
          <cell r="B75">
            <v>1844</v>
          </cell>
          <cell r="C75" t="str">
            <v>ZD4B</v>
          </cell>
          <cell r="D75" t="str">
            <v>ZD4B-HThermometer-1</v>
          </cell>
        </row>
        <row r="76">
          <cell r="B76">
            <v>1845</v>
          </cell>
          <cell r="C76" t="str">
            <v>ZD4B</v>
          </cell>
          <cell r="D76" t="str">
            <v>ZD4B-HThermometer-2</v>
          </cell>
        </row>
        <row r="77">
          <cell r="B77">
            <v>1846</v>
          </cell>
          <cell r="C77" t="str">
            <v>ZD4B</v>
          </cell>
          <cell r="D77" t="str">
            <v>ZD4B-HThermometer-3</v>
          </cell>
        </row>
        <row r="78">
          <cell r="B78">
            <v>1847</v>
          </cell>
          <cell r="C78" t="str">
            <v>ZD4B</v>
          </cell>
          <cell r="D78" t="str">
            <v>ZD4B-HThermometer-4</v>
          </cell>
        </row>
        <row r="79">
          <cell r="B79">
            <v>1848</v>
          </cell>
          <cell r="C79" t="str">
            <v>ZD4B</v>
          </cell>
          <cell r="D79" t="str">
            <v>ZD4B-HThermometer-5</v>
          </cell>
        </row>
        <row r="80">
          <cell r="B80">
            <v>1850</v>
          </cell>
          <cell r="C80" t="str">
            <v>ZD4T</v>
          </cell>
          <cell r="D80" t="str">
            <v>ZD4T-HThermometer-1</v>
          </cell>
        </row>
        <row r="81">
          <cell r="B81">
            <v>1851</v>
          </cell>
          <cell r="C81" t="str">
            <v>ZD4D</v>
          </cell>
          <cell r="D81" t="str">
            <v>ZD4D-HThermometer-1</v>
          </cell>
        </row>
        <row r="82">
          <cell r="B82">
            <v>1852</v>
          </cell>
          <cell r="C82" t="str">
            <v>ZD4E</v>
          </cell>
          <cell r="D82" t="str">
            <v>ZD4E-HThermometer-1</v>
          </cell>
        </row>
        <row r="83">
          <cell r="B83">
            <v>1853</v>
          </cell>
          <cell r="C83" t="str">
            <v>ZD4E</v>
          </cell>
          <cell r="D83" t="str">
            <v>ZD4E-HThermometer-2</v>
          </cell>
        </row>
        <row r="84">
          <cell r="B84">
            <v>1854</v>
          </cell>
          <cell r="C84" t="str">
            <v>ZD4F</v>
          </cell>
          <cell r="D84" t="str">
            <v>ZD4F-HThermometer-1</v>
          </cell>
        </row>
        <row r="85">
          <cell r="B85">
            <v>1855</v>
          </cell>
          <cell r="C85" t="str">
            <v>ZD4G</v>
          </cell>
          <cell r="D85" t="str">
            <v>ZD4G-HThermometer-1</v>
          </cell>
        </row>
        <row r="86">
          <cell r="B86">
            <v>1856</v>
          </cell>
          <cell r="C86" t="str">
            <v>ZD4G</v>
          </cell>
          <cell r="D86" t="str">
            <v>ZD4G-HThermometer-2</v>
          </cell>
        </row>
        <row r="87">
          <cell r="B87">
            <v>1857</v>
          </cell>
          <cell r="C87" t="str">
            <v>ZD4H</v>
          </cell>
          <cell r="D87" t="str">
            <v>ZD4H-HThermometer-1</v>
          </cell>
        </row>
        <row r="88">
          <cell r="B88">
            <v>1858</v>
          </cell>
          <cell r="C88" t="str">
            <v>ZD4I</v>
          </cell>
          <cell r="D88" t="str">
            <v>ZD4I-HThermometer-1</v>
          </cell>
        </row>
        <row r="89">
          <cell r="B89">
            <v>1859</v>
          </cell>
          <cell r="C89" t="str">
            <v>ZD4I</v>
          </cell>
          <cell r="D89" t="str">
            <v>ZD4I-HThermometer-2</v>
          </cell>
        </row>
        <row r="90">
          <cell r="B90">
            <v>1860</v>
          </cell>
          <cell r="C90" t="str">
            <v>ZD4J</v>
          </cell>
          <cell r="D90" t="str">
            <v>ZD4J-HThermometer-1</v>
          </cell>
        </row>
        <row r="91">
          <cell r="B91">
            <v>1861</v>
          </cell>
          <cell r="C91" t="str">
            <v>ZD4K</v>
          </cell>
          <cell r="D91" t="str">
            <v>ZD4K-HThermometer-1</v>
          </cell>
        </row>
        <row r="92">
          <cell r="B92">
            <v>1862</v>
          </cell>
          <cell r="C92" t="str">
            <v>ZD4L</v>
          </cell>
          <cell r="D92" t="str">
            <v>ZD4L-HThermometer-1</v>
          </cell>
        </row>
        <row r="93">
          <cell r="B93">
            <v>1863</v>
          </cell>
          <cell r="C93" t="str">
            <v>ZD4M</v>
          </cell>
          <cell r="D93" t="str">
            <v>ZD4M-HThermometer-1</v>
          </cell>
        </row>
        <row r="94">
          <cell r="B94">
            <v>1864</v>
          </cell>
          <cell r="C94" t="str">
            <v>ZD4N</v>
          </cell>
          <cell r="D94" t="str">
            <v>ZD4N-HThermometer-1</v>
          </cell>
        </row>
        <row r="95">
          <cell r="B95">
            <v>1865</v>
          </cell>
          <cell r="C95" t="str">
            <v>ZD4O</v>
          </cell>
          <cell r="D95" t="str">
            <v>ZD4O-HThermometer-1</v>
          </cell>
        </row>
        <row r="96">
          <cell r="B96">
            <v>1866</v>
          </cell>
          <cell r="C96" t="str">
            <v>ZD4O</v>
          </cell>
          <cell r="D96" t="str">
            <v>ZD4O-HThermometer-2</v>
          </cell>
        </row>
        <row r="97">
          <cell r="B97">
            <v>1867</v>
          </cell>
          <cell r="C97" t="str">
            <v>ZD4P</v>
          </cell>
          <cell r="D97" t="str">
            <v>ZD4P-HThermometer-1</v>
          </cell>
        </row>
        <row r="98">
          <cell r="B98">
            <v>1868</v>
          </cell>
          <cell r="C98" t="str">
            <v>ZD4Q</v>
          </cell>
          <cell r="D98" t="str">
            <v>ZD4Q-HThermometer-1</v>
          </cell>
        </row>
        <row r="99">
          <cell r="B99">
            <v>1869</v>
          </cell>
          <cell r="C99" t="str">
            <v>ZD4R</v>
          </cell>
          <cell r="D99" t="str">
            <v>ZD4R-HThermometer-1</v>
          </cell>
        </row>
        <row r="100">
          <cell r="B100">
            <v>1870</v>
          </cell>
          <cell r="C100" t="str">
            <v>ZD4R</v>
          </cell>
          <cell r="D100" t="str">
            <v>ZD4R-HThermometer-2</v>
          </cell>
        </row>
        <row r="101">
          <cell r="B101">
            <v>1871</v>
          </cell>
          <cell r="C101" t="str">
            <v>ZD5A</v>
          </cell>
          <cell r="D101" t="str">
            <v>ZD5A-HThermometer-1</v>
          </cell>
        </row>
        <row r="102">
          <cell r="B102">
            <v>1872</v>
          </cell>
          <cell r="C102" t="str">
            <v>ZD5A</v>
          </cell>
          <cell r="D102" t="str">
            <v>ZD5A-HThermometer-2</v>
          </cell>
        </row>
        <row r="103">
          <cell r="B103">
            <v>1873</v>
          </cell>
          <cell r="C103" t="str">
            <v>ZD5B</v>
          </cell>
          <cell r="D103" t="str">
            <v>ZD5B-HThermometer-1</v>
          </cell>
        </row>
        <row r="104">
          <cell r="B104">
            <v>1874</v>
          </cell>
          <cell r="C104" t="str">
            <v>ZD5B</v>
          </cell>
          <cell r="D104" t="str">
            <v>ZD5B-HThermometer-2</v>
          </cell>
        </row>
        <row r="105">
          <cell r="B105">
            <v>1875</v>
          </cell>
          <cell r="C105" t="str">
            <v>ZD5C</v>
          </cell>
          <cell r="D105" t="str">
            <v>ZD5C-HThermometer-1</v>
          </cell>
        </row>
        <row r="106">
          <cell r="B106">
            <v>1876</v>
          </cell>
          <cell r="C106" t="str">
            <v>ZD5C</v>
          </cell>
          <cell r="D106" t="str">
            <v>ZD5C-HThermometer-2</v>
          </cell>
        </row>
        <row r="107">
          <cell r="B107">
            <v>1877</v>
          </cell>
          <cell r="C107" t="str">
            <v>ZD5D</v>
          </cell>
          <cell r="D107" t="str">
            <v>ZD5D-HThermometer-1</v>
          </cell>
        </row>
        <row r="108">
          <cell r="B108">
            <v>1878</v>
          </cell>
          <cell r="C108" t="str">
            <v>ZD5D</v>
          </cell>
          <cell r="D108" t="str">
            <v>ZD5D-HThermometer-2</v>
          </cell>
        </row>
        <row r="109">
          <cell r="B109">
            <v>1879</v>
          </cell>
          <cell r="C109" t="str">
            <v>ZD5E</v>
          </cell>
          <cell r="D109" t="str">
            <v>ZD5E-HThermometer-1</v>
          </cell>
        </row>
        <row r="110">
          <cell r="B110">
            <v>1880</v>
          </cell>
          <cell r="C110" t="str">
            <v>ZD5F</v>
          </cell>
          <cell r="D110" t="str">
            <v>ZD5F-HThermometer-1</v>
          </cell>
        </row>
        <row r="111">
          <cell r="B111">
            <v>1881</v>
          </cell>
          <cell r="C111" t="str">
            <v>ZD5G</v>
          </cell>
          <cell r="D111" t="str">
            <v>ZD5G-HThermometer-1</v>
          </cell>
        </row>
        <row r="112">
          <cell r="B112">
            <v>1882</v>
          </cell>
          <cell r="C112" t="str">
            <v>ZD5H</v>
          </cell>
          <cell r="D112" t="str">
            <v>ZD5H-HThermometer-1</v>
          </cell>
        </row>
        <row r="113">
          <cell r="B113">
            <v>1883</v>
          </cell>
          <cell r="C113" t="str">
            <v>ZD5H</v>
          </cell>
          <cell r="D113" t="str">
            <v>ZD5H-HThermometer-2</v>
          </cell>
        </row>
        <row r="114">
          <cell r="B114">
            <v>1884</v>
          </cell>
          <cell r="C114" t="str">
            <v>ZD5I</v>
          </cell>
          <cell r="D114" t="str">
            <v>ZD5I-HThermometer-1</v>
          </cell>
        </row>
        <row r="115">
          <cell r="B115">
            <v>1885</v>
          </cell>
          <cell r="C115" t="str">
            <v>ZD5J</v>
          </cell>
          <cell r="D115" t="str">
            <v>ZD5J-HThermometer-1</v>
          </cell>
        </row>
        <row r="116">
          <cell r="B116">
            <v>1886</v>
          </cell>
          <cell r="C116" t="str">
            <v>ZD5K</v>
          </cell>
          <cell r="D116" t="str">
            <v>ZD5K-HThermometer-1</v>
          </cell>
        </row>
        <row r="117">
          <cell r="B117">
            <v>1887</v>
          </cell>
          <cell r="C117" t="str">
            <v>ZD5M</v>
          </cell>
          <cell r="D117" t="str">
            <v>ZD5M-HThermometer-1</v>
          </cell>
        </row>
        <row r="118">
          <cell r="B118">
            <v>1888</v>
          </cell>
          <cell r="C118" t="str">
            <v>ZD5M</v>
          </cell>
          <cell r="D118" t="str">
            <v>ZD5M-HThermometer-2</v>
          </cell>
        </row>
        <row r="119">
          <cell r="B119">
            <v>1889</v>
          </cell>
          <cell r="C119" t="str">
            <v>ZD6B</v>
          </cell>
          <cell r="D119" t="str">
            <v>ZD6B-HThermometer-1</v>
          </cell>
        </row>
        <row r="120">
          <cell r="B120">
            <v>1890</v>
          </cell>
          <cell r="C120" t="str">
            <v>ZD6C</v>
          </cell>
          <cell r="D120" t="str">
            <v>ZD6C-HThermometer-1</v>
          </cell>
        </row>
        <row r="121">
          <cell r="B121">
            <v>1891</v>
          </cell>
          <cell r="C121" t="str">
            <v>ZD6D</v>
          </cell>
          <cell r="D121" t="str">
            <v>ZD6D-HThermometer-1</v>
          </cell>
        </row>
        <row r="122">
          <cell r="B122">
            <v>1892</v>
          </cell>
          <cell r="C122" t="str">
            <v>ZD6E</v>
          </cell>
          <cell r="D122" t="str">
            <v>ZD6E-HThermometer-1</v>
          </cell>
        </row>
        <row r="123">
          <cell r="B123">
            <v>1893</v>
          </cell>
          <cell r="C123" t="str">
            <v>ZD6F</v>
          </cell>
          <cell r="D123" t="str">
            <v>ZD6F-HThermometer-1</v>
          </cell>
        </row>
        <row r="124">
          <cell r="B124">
            <v>1894</v>
          </cell>
          <cell r="C124" t="str">
            <v>ZD6F</v>
          </cell>
          <cell r="D124" t="str">
            <v>ZD6F-HThermometer-2</v>
          </cell>
        </row>
        <row r="125">
          <cell r="B125">
            <v>1895</v>
          </cell>
          <cell r="C125" t="str">
            <v>ZD6G</v>
          </cell>
          <cell r="D125" t="str">
            <v>ZD6G-HThermometer-1</v>
          </cell>
        </row>
        <row r="126">
          <cell r="B126">
            <v>1896</v>
          </cell>
          <cell r="C126" t="str">
            <v>ZD6H</v>
          </cell>
          <cell r="D126" t="str">
            <v>ZD6H-HThermometer-1</v>
          </cell>
        </row>
        <row r="127">
          <cell r="B127">
            <v>1897</v>
          </cell>
          <cell r="C127" t="str">
            <v>ZD6I</v>
          </cell>
          <cell r="D127" t="str">
            <v>ZD6I-HThermometer-1</v>
          </cell>
        </row>
        <row r="128">
          <cell r="B128">
            <v>1898</v>
          </cell>
          <cell r="C128" t="str">
            <v>ZD6J</v>
          </cell>
          <cell r="D128" t="str">
            <v>ZD6J-HThermometer-1</v>
          </cell>
        </row>
        <row r="129">
          <cell r="B129">
            <v>1899</v>
          </cell>
          <cell r="C129" t="str">
            <v>ZD6K</v>
          </cell>
          <cell r="D129" t="str">
            <v>ZD6K-HThermometer-1</v>
          </cell>
        </row>
        <row r="130">
          <cell r="B130">
            <v>1900</v>
          </cell>
          <cell r="C130" t="str">
            <v>ZD7B</v>
          </cell>
          <cell r="D130" t="str">
            <v>ZD7B-HThermometer-1</v>
          </cell>
        </row>
        <row r="131">
          <cell r="B131">
            <v>1901</v>
          </cell>
          <cell r="C131" t="str">
            <v>ZD7B</v>
          </cell>
          <cell r="D131" t="str">
            <v>ZD7B-HThermometer-2</v>
          </cell>
        </row>
        <row r="132">
          <cell r="B132">
            <v>1902</v>
          </cell>
          <cell r="C132" t="str">
            <v>ZD7C</v>
          </cell>
          <cell r="D132" t="str">
            <v>ZD7C-HThermometer-1</v>
          </cell>
        </row>
        <row r="133">
          <cell r="B133">
            <v>1903</v>
          </cell>
          <cell r="C133" t="str">
            <v>ZD7D</v>
          </cell>
          <cell r="D133" t="str">
            <v>ZD7D-HThermometer-1</v>
          </cell>
        </row>
        <row r="134">
          <cell r="B134">
            <v>1904</v>
          </cell>
          <cell r="C134" t="str">
            <v>ZD7D</v>
          </cell>
          <cell r="D134" t="str">
            <v>ZD7D-HThermometer-2</v>
          </cell>
        </row>
        <row r="135">
          <cell r="B135">
            <v>1905</v>
          </cell>
          <cell r="C135" t="str">
            <v>ZD7E</v>
          </cell>
          <cell r="D135" t="str">
            <v>ZD7E-HThermometer-1</v>
          </cell>
        </row>
        <row r="136">
          <cell r="B136">
            <v>1906</v>
          </cell>
          <cell r="C136" t="str">
            <v>ZD7F</v>
          </cell>
          <cell r="D136" t="str">
            <v>ZD7F-HThermometer-1</v>
          </cell>
        </row>
        <row r="137">
          <cell r="B137">
            <v>1907</v>
          </cell>
          <cell r="C137" t="str">
            <v>ZD7G</v>
          </cell>
          <cell r="D137" t="str">
            <v>ZD7G-HThermometer-1</v>
          </cell>
        </row>
        <row r="138">
          <cell r="B138">
            <v>1908</v>
          </cell>
          <cell r="C138" t="str">
            <v>ZD7H</v>
          </cell>
          <cell r="D138" t="str">
            <v>ZD7H-HThermometer-1</v>
          </cell>
        </row>
        <row r="139">
          <cell r="B139">
            <v>1909</v>
          </cell>
          <cell r="C139" t="str">
            <v>ZD7I</v>
          </cell>
          <cell r="D139" t="str">
            <v>ZD7I-HThermometer-1</v>
          </cell>
        </row>
        <row r="140">
          <cell r="B140">
            <v>1910</v>
          </cell>
          <cell r="C140" t="str">
            <v>ZD7J</v>
          </cell>
          <cell r="D140" t="str">
            <v>ZD7J-HThermometer-1</v>
          </cell>
        </row>
        <row r="141">
          <cell r="B141">
            <v>1911</v>
          </cell>
          <cell r="C141" t="str">
            <v>ZD7J</v>
          </cell>
          <cell r="D141" t="str">
            <v>ZD7J-HThermometer-2</v>
          </cell>
        </row>
        <row r="142">
          <cell r="B142">
            <v>1912</v>
          </cell>
          <cell r="C142" t="str">
            <v>ZD7J</v>
          </cell>
          <cell r="D142" t="str">
            <v>ZD7J-HThermometer-3</v>
          </cell>
        </row>
        <row r="143">
          <cell r="B143">
            <v>1913</v>
          </cell>
          <cell r="C143" t="str">
            <v>ZD7J</v>
          </cell>
          <cell r="D143" t="str">
            <v>ZD7J-HThermometer-4</v>
          </cell>
        </row>
        <row r="144">
          <cell r="B144">
            <v>1914</v>
          </cell>
          <cell r="C144" t="str">
            <v>ZD7L</v>
          </cell>
          <cell r="D144" t="str">
            <v>ZD7L-HThermometer-1</v>
          </cell>
        </row>
        <row r="145">
          <cell r="B145">
            <v>1915</v>
          </cell>
          <cell r="C145" t="str">
            <v>ZD7M</v>
          </cell>
          <cell r="D145" t="str">
            <v>ZD7M-HThermometer-1</v>
          </cell>
        </row>
        <row r="146">
          <cell r="B146">
            <v>1916</v>
          </cell>
          <cell r="C146" t="str">
            <v>ZD7N</v>
          </cell>
          <cell r="D146" t="str">
            <v>ZD7N-HThermometer-1</v>
          </cell>
        </row>
        <row r="147">
          <cell r="B147">
            <v>1917</v>
          </cell>
          <cell r="C147" t="str">
            <v>ZD7N</v>
          </cell>
          <cell r="D147" t="str">
            <v>ZD7N-HThermometer-2</v>
          </cell>
        </row>
        <row r="148">
          <cell r="B148">
            <v>1918</v>
          </cell>
          <cell r="C148" t="str">
            <v>ZD7O</v>
          </cell>
          <cell r="D148" t="str">
            <v>ZD7O-HThermometer-1</v>
          </cell>
        </row>
        <row r="149">
          <cell r="B149">
            <v>1919</v>
          </cell>
          <cell r="C149" t="str">
            <v>ZD7O</v>
          </cell>
          <cell r="D149" t="str">
            <v>ZD7O-HThermometer-2</v>
          </cell>
        </row>
        <row r="150">
          <cell r="B150">
            <v>1920</v>
          </cell>
          <cell r="C150" t="str">
            <v>ZD8A</v>
          </cell>
          <cell r="D150" t="str">
            <v>ZD8A-HThermometer-1</v>
          </cell>
        </row>
        <row r="151">
          <cell r="B151">
            <v>1921</v>
          </cell>
          <cell r="C151" t="str">
            <v>ZD8A</v>
          </cell>
          <cell r="D151" t="str">
            <v>ZD8A-HThermometer-2</v>
          </cell>
        </row>
        <row r="152">
          <cell r="B152">
            <v>1922</v>
          </cell>
          <cell r="C152" t="str">
            <v>ZD8B</v>
          </cell>
          <cell r="D152" t="str">
            <v>ZD8B-HThermometer-1</v>
          </cell>
        </row>
        <row r="153">
          <cell r="B153">
            <v>1923</v>
          </cell>
          <cell r="C153" t="str">
            <v>ZD8C</v>
          </cell>
          <cell r="D153" t="str">
            <v>ZD8C-HThermometer-1</v>
          </cell>
        </row>
        <row r="154">
          <cell r="B154">
            <v>1924</v>
          </cell>
          <cell r="C154" t="str">
            <v>ZD8D</v>
          </cell>
          <cell r="D154" t="str">
            <v>ZD8D-HThermometer-1</v>
          </cell>
        </row>
        <row r="155">
          <cell r="B155">
            <v>1925</v>
          </cell>
          <cell r="C155" t="str">
            <v>ZD9A</v>
          </cell>
          <cell r="D155" t="str">
            <v>ZD9A-HThermometer-1</v>
          </cell>
        </row>
        <row r="156">
          <cell r="B156">
            <v>1926</v>
          </cell>
          <cell r="C156" t="str">
            <v>ZD9A</v>
          </cell>
          <cell r="D156" t="str">
            <v>ZD9A-HThermometer-2</v>
          </cell>
        </row>
        <row r="157">
          <cell r="B157">
            <v>1927</v>
          </cell>
          <cell r="C157" t="str">
            <v>ZD9B</v>
          </cell>
          <cell r="D157" t="str">
            <v>ZD9B-HThermometer-1</v>
          </cell>
        </row>
        <row r="158">
          <cell r="B158">
            <v>1928</v>
          </cell>
          <cell r="C158" t="str">
            <v>ZD9C</v>
          </cell>
          <cell r="D158" t="str">
            <v>ZD9C-HThermometer-1</v>
          </cell>
        </row>
        <row r="159">
          <cell r="B159">
            <v>1929</v>
          </cell>
          <cell r="C159" t="str">
            <v>ZD9C</v>
          </cell>
          <cell r="D159" t="str">
            <v>ZD9C-HThermometer-2</v>
          </cell>
        </row>
        <row r="160">
          <cell r="B160">
            <v>1930</v>
          </cell>
          <cell r="C160" t="str">
            <v>ZD9D</v>
          </cell>
          <cell r="D160" t="str">
            <v>ZD9D-HThermometer-1</v>
          </cell>
        </row>
        <row r="161">
          <cell r="B161">
            <v>1931</v>
          </cell>
          <cell r="C161" t="str">
            <v>ZD9F</v>
          </cell>
          <cell r="D161" t="str">
            <v>ZD9F-HThermometer-1</v>
          </cell>
        </row>
        <row r="162">
          <cell r="B162">
            <v>1932</v>
          </cell>
          <cell r="C162" t="str">
            <v>ZD9H</v>
          </cell>
          <cell r="D162" t="str">
            <v>ZD9H-HThermometer-1</v>
          </cell>
        </row>
        <row r="163">
          <cell r="B163">
            <v>1933</v>
          </cell>
          <cell r="C163" t="str">
            <v>ZD9I</v>
          </cell>
          <cell r="D163" t="str">
            <v>ZD9I-HThermometer-1</v>
          </cell>
        </row>
        <row r="164">
          <cell r="B164">
            <v>1934</v>
          </cell>
          <cell r="C164" t="str">
            <v>ZD9J</v>
          </cell>
          <cell r="D164" t="str">
            <v>ZD9J-HThermometer-1</v>
          </cell>
        </row>
        <row r="165">
          <cell r="B165">
            <v>2068</v>
          </cell>
          <cell r="C165" t="str">
            <v>ZD8E</v>
          </cell>
          <cell r="D165" t="str">
            <v>ZD8E-HThermometer-1</v>
          </cell>
        </row>
        <row r="166">
          <cell r="B166">
            <v>6679</v>
          </cell>
          <cell r="C166" t="str">
            <v>ZD6C</v>
          </cell>
          <cell r="D166" t="str">
            <v>ZD6C-HThermometer-2</v>
          </cell>
        </row>
        <row r="167">
          <cell r="B167">
            <v>6680</v>
          </cell>
          <cell r="C167" t="str">
            <v>ZD6K</v>
          </cell>
          <cell r="D167" t="str">
            <v>ZD6K-HThermometer-2</v>
          </cell>
        </row>
        <row r="168">
          <cell r="B168">
            <v>6681</v>
          </cell>
          <cell r="C168" t="str">
            <v>ZD6D</v>
          </cell>
          <cell r="D168" t="str">
            <v>ZD6D-HThermometer-2</v>
          </cell>
        </row>
        <row r="169">
          <cell r="B169">
            <v>6682</v>
          </cell>
          <cell r="C169" t="str">
            <v>ZD6H</v>
          </cell>
          <cell r="D169" t="str">
            <v>ZD6H-HThermometer-2</v>
          </cell>
        </row>
        <row r="170">
          <cell r="B170">
            <v>6683</v>
          </cell>
          <cell r="C170" t="str">
            <v>ZD6J</v>
          </cell>
          <cell r="D170" t="str">
            <v>ZD6J-HThermometer-2</v>
          </cell>
        </row>
        <row r="171">
          <cell r="B171">
            <v>6684</v>
          </cell>
          <cell r="C171" t="str">
            <v>ZD6G</v>
          </cell>
          <cell r="D171" t="str">
            <v>ZD6G-HThermometer-2</v>
          </cell>
        </row>
        <row r="172">
          <cell r="B172">
            <v>6744</v>
          </cell>
          <cell r="C172" t="str">
            <v>ZD4S</v>
          </cell>
          <cell r="D172" t="str">
            <v>ZD4s-HThermometer-1</v>
          </cell>
        </row>
        <row r="173">
          <cell r="B173">
            <v>6750</v>
          </cell>
          <cell r="C173" t="str">
            <v>ZD4C</v>
          </cell>
          <cell r="D173" t="str">
            <v>ZD4C-Thermometer-1</v>
          </cell>
        </row>
      </sheetData>
      <sheetData sheetId="9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el3_1" backgroundRefresh="0" connectionId="1" xr16:uid="{00000000-0016-0000-0600-000001000000}" autoFormatId="16" applyNumberFormats="0" applyBorderFormats="0" applyFontFormats="0" applyPatternFormats="0" applyAlignmentFormats="0" applyWidthHeightFormats="0">
  <queryTableRefresh nextId="4">
    <queryTableFields count="3">
      <queryTableField id="1" name="IDLocation" tableColumnId="1"/>
      <queryTableField id="2" name="LocationName" tableColumnId="2"/>
      <queryTableField id="3" name="WarehouseName" tableColumnId="3"/>
    </queryTableFields>
  </queryTableRefresh>
  <extLst>
    <ext xmlns:x15="http://schemas.microsoft.com/office/spreadsheetml/2010/11/main" uri="{883FBD77-0823-4a55-B5E3-86C4891E6966}">
      <x15:queryTable sourceDataName="WorksheetConnection_Temperature &amp; Humidity _ 11-10-2021.xlsm!Tabel3"/>
    </ext>
  </extLst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32DE40-5635-4CC9-AD6A-DA9DCE6A1C38}" name="Tabel35" displayName="Tabel35" ref="B5:D124" totalsRowShown="0">
  <autoFilter ref="B5:D124" xr:uid="{9E94BE2C-E5A5-4BE0-A881-2F0E87AB7262}"/>
  <tableColumns count="3">
    <tableColumn id="1" xr3:uid="{CDD2547C-EE73-47AE-8888-53067C5930C6}" name="Warehouse" dataDxfId="4"/>
    <tableColumn id="2" xr3:uid="{1952872C-2E3C-444C-88E6-218C329114FC}" name="Regional"/>
    <tableColumn id="3" xr3:uid="{62FD547F-DA1B-4CB1-8619-716A890E5815}" name="Plant">
      <calculatedColumnFormula>LEFT(Tabel35[[#This Row],[Warehouse]],4)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80C35D9-CD18-4D56-8F7D-93CA16DFBB71}" name="Tabel2" displayName="Tabel2" ref="F5:F17" totalsRowShown="0" dataDxfId="3" tableBorderDxfId="2">
  <autoFilter ref="F5:F17" xr:uid="{380C35D9-CD18-4D56-8F7D-93CA16DFBB71}"/>
  <tableColumns count="1">
    <tableColumn id="1" xr3:uid="{CCB2E7FE-5909-4C5B-B740-51626DF35A1A}" name="Master Regional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CE313F4-6596-43DC-BF38-86F2FB334EE1}" name="Table4" displayName="Table4" ref="H5:H17" totalsRowShown="0">
  <autoFilter ref="H5:H17" xr:uid="{ECE313F4-6596-43DC-BF38-86F2FB334EE1}"/>
  <tableColumns count="1">
    <tableColumn id="1" xr3:uid="{D55106C3-C10C-4AB2-BF6B-6EA45CC235B0}" name="Jumlah Region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3000000}" name="Tabel3_116" displayName="Tabel3_116" ref="B4:D123" tableType="queryTable" totalsRowShown="0">
  <autoFilter ref="B4:D123" xr:uid="{00000000-0009-0000-0100-00000F000000}"/>
  <tableColumns count="3">
    <tableColumn id="1" xr3:uid="{00000000-0010-0000-0300-000001000000}" uniqueName="1" name="IDLocation" queryTableFieldId="1"/>
    <tableColumn id="2" xr3:uid="{00000000-0010-0000-0300-000002000000}" uniqueName="2" name="LocationName" queryTableFieldId="2"/>
    <tableColumn id="3" xr3:uid="{00000000-0010-0000-0300-000003000000}" uniqueName="3" name="WarehouseName" queryTableFieldId="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el3" displayName="Tabel3" ref="B4:C123" totalsRowShown="0" headerRowDxfId="0">
  <autoFilter ref="B4:C123" xr:uid="{00000000-0009-0000-0100-000003000000}"/>
  <tableColumns count="2">
    <tableColumn id="1" xr3:uid="{00000000-0010-0000-0400-000001000000}" name="IDLocation"/>
    <tableColumn id="2" xr3:uid="{00000000-0010-0000-0400-000002000000}" name="Location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0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3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E0700-58E8-4AF7-9EB8-AC41F240381F}">
  <sheetPr codeName="Lembar11"/>
  <dimension ref="B4:Y19"/>
  <sheetViews>
    <sheetView zoomScale="90" zoomScaleNormal="90" workbookViewId="0">
      <selection activeCell="G13" sqref="G13"/>
    </sheetView>
  </sheetViews>
  <sheetFormatPr defaultRowHeight="24.95" customHeight="1" x14ac:dyDescent="0.25"/>
  <cols>
    <col min="1" max="1" width="9.140625" style="46"/>
    <col min="2" max="4" width="18.7109375" style="14" customWidth="1"/>
    <col min="5" max="5" width="18.7109375" style="52" customWidth="1"/>
    <col min="6" max="6" width="21.85546875" style="14" customWidth="1"/>
    <col min="7" max="7" width="29.140625" style="14" customWidth="1"/>
    <col min="8" max="8" width="18.7109375" style="14" customWidth="1"/>
    <col min="9" max="9" width="27.85546875" style="14" customWidth="1"/>
    <col min="10" max="10" width="18.7109375" style="53" customWidth="1"/>
    <col min="11" max="11" width="28.140625" style="53" customWidth="1"/>
    <col min="12" max="12" width="18.7109375" style="64" customWidth="1"/>
    <col min="13" max="20" width="18.7109375" style="53" customWidth="1"/>
    <col min="21" max="21" width="13" style="67" hidden="1" customWidth="1"/>
    <col min="22" max="22" width="9.7109375" style="46" bestFit="1" customWidth="1"/>
    <col min="23" max="24" width="9.140625" style="46"/>
    <col min="25" max="25" width="16.42578125" style="46" customWidth="1"/>
    <col min="26" max="16384" width="9.140625" style="46"/>
  </cols>
  <sheetData>
    <row r="4" spans="2:25" ht="30" customHeight="1" x14ac:dyDescent="0.25">
      <c r="C4" s="69" t="s">
        <v>511</v>
      </c>
      <c r="D4" s="47">
        <v>0</v>
      </c>
    </row>
    <row r="6" spans="2:25" ht="24.95" customHeight="1" x14ac:dyDescent="0.25">
      <c r="B6" s="50" t="s">
        <v>380</v>
      </c>
      <c r="C6" s="50" t="s">
        <v>443</v>
      </c>
      <c r="D6" s="51" t="s">
        <v>442</v>
      </c>
      <c r="E6" s="50" t="s">
        <v>441</v>
      </c>
      <c r="F6" s="50" t="s">
        <v>381</v>
      </c>
      <c r="G6" s="50" t="s">
        <v>440</v>
      </c>
      <c r="H6" s="51" t="s">
        <v>439</v>
      </c>
      <c r="I6" s="50" t="s">
        <v>438</v>
      </c>
      <c r="J6" s="50" t="s">
        <v>437</v>
      </c>
      <c r="K6" s="50" t="s">
        <v>436</v>
      </c>
      <c r="L6" s="65" t="s">
        <v>382</v>
      </c>
      <c r="M6" s="51" t="s">
        <v>435</v>
      </c>
      <c r="N6" s="51" t="s">
        <v>434</v>
      </c>
      <c r="O6" s="50" t="s">
        <v>433</v>
      </c>
      <c r="P6" s="50" t="s">
        <v>432</v>
      </c>
      <c r="Q6" s="50" t="s">
        <v>431</v>
      </c>
      <c r="R6" s="50" t="s">
        <v>430</v>
      </c>
      <c r="S6" s="50" t="s">
        <v>429</v>
      </c>
      <c r="T6" s="50" t="s">
        <v>428</v>
      </c>
    </row>
    <row r="7" spans="2:25" ht="24.95" customHeight="1" x14ac:dyDescent="0.25">
      <c r="B7" s="34"/>
      <c r="C7" s="35"/>
      <c r="D7" s="35"/>
      <c r="E7" s="35"/>
      <c r="F7" s="35"/>
      <c r="G7" s="35"/>
      <c r="H7" s="35"/>
      <c r="I7" s="35"/>
      <c r="J7" s="35"/>
      <c r="K7" s="34"/>
      <c r="L7" s="43"/>
      <c r="M7" s="38"/>
      <c r="N7" s="34"/>
      <c r="O7" s="35"/>
      <c r="P7" s="35"/>
      <c r="Q7" s="36"/>
      <c r="R7" s="39"/>
      <c r="S7" s="35"/>
      <c r="T7" s="37"/>
      <c r="U7" s="68"/>
      <c r="V7" s="66"/>
    </row>
    <row r="8" spans="2:25" ht="24.95" customHeight="1" x14ac:dyDescent="0.25">
      <c r="B8" s="34"/>
      <c r="C8" s="35"/>
      <c r="D8" s="35"/>
      <c r="E8" s="35"/>
      <c r="F8" s="35"/>
      <c r="G8" s="35"/>
      <c r="H8" s="35"/>
      <c r="I8" s="35"/>
      <c r="J8" s="35"/>
      <c r="K8" s="34"/>
      <c r="L8" s="43"/>
      <c r="M8" s="39"/>
      <c r="N8" s="34"/>
      <c r="O8" s="35"/>
      <c r="P8" s="35"/>
      <c r="Q8" s="36"/>
      <c r="R8" s="39"/>
      <c r="S8" s="35"/>
      <c r="T8" s="37"/>
      <c r="U8" s="68"/>
    </row>
    <row r="9" spans="2:25" ht="24.95" customHeight="1" x14ac:dyDescent="0.25">
      <c r="B9" s="34"/>
      <c r="C9" s="35"/>
      <c r="D9" s="35"/>
      <c r="E9" s="35"/>
      <c r="F9" s="35"/>
      <c r="G9" s="35"/>
      <c r="H9" s="35"/>
      <c r="I9" s="35"/>
      <c r="J9" s="35"/>
      <c r="K9" s="34"/>
      <c r="L9" s="43"/>
      <c r="M9" s="38"/>
      <c r="N9" s="34"/>
      <c r="O9" s="35"/>
      <c r="P9" s="35"/>
      <c r="Q9" s="36"/>
      <c r="R9" s="39"/>
      <c r="S9" s="35"/>
      <c r="T9" s="37"/>
      <c r="U9" s="68"/>
    </row>
    <row r="10" spans="2:25" ht="24.95" customHeight="1" x14ac:dyDescent="0.25">
      <c r="B10" s="34"/>
      <c r="C10" s="35"/>
      <c r="D10" s="35"/>
      <c r="E10" s="35"/>
      <c r="F10" s="35"/>
      <c r="G10" s="35"/>
      <c r="H10" s="35"/>
      <c r="I10" s="35"/>
      <c r="J10" s="35"/>
      <c r="K10" s="34"/>
      <c r="L10" s="43"/>
      <c r="M10" s="39"/>
      <c r="N10" s="34"/>
      <c r="O10" s="35"/>
      <c r="P10" s="35"/>
      <c r="Q10" s="36"/>
      <c r="R10" s="39"/>
      <c r="S10" s="35"/>
      <c r="T10" s="37"/>
      <c r="U10" s="68"/>
      <c r="Y10" s="66"/>
    </row>
    <row r="11" spans="2:25" ht="24.95" customHeight="1" x14ac:dyDescent="0.25">
      <c r="B11" s="34"/>
      <c r="C11" s="35"/>
      <c r="D11" s="35"/>
      <c r="E11" s="35"/>
      <c r="F11" s="35"/>
      <c r="G11" s="35"/>
      <c r="H11" s="35"/>
      <c r="I11" s="35"/>
      <c r="J11" s="35"/>
      <c r="K11" s="34"/>
      <c r="L11" s="43"/>
      <c r="M11" s="39"/>
      <c r="N11" s="34"/>
      <c r="O11" s="35"/>
      <c r="P11" s="35"/>
      <c r="Q11" s="36"/>
      <c r="R11" s="39"/>
      <c r="S11" s="35"/>
      <c r="T11" s="37"/>
      <c r="U11" s="68"/>
    </row>
    <row r="12" spans="2:25" ht="24.95" customHeight="1" x14ac:dyDescent="0.25">
      <c r="B12" s="34"/>
      <c r="C12" s="35"/>
      <c r="D12" s="35"/>
      <c r="E12" s="35"/>
      <c r="F12" s="35"/>
      <c r="G12" s="35"/>
      <c r="H12" s="35"/>
      <c r="I12" s="35"/>
      <c r="J12" s="35"/>
      <c r="K12" s="34"/>
      <c r="L12" s="43"/>
      <c r="M12" s="39"/>
      <c r="N12" s="34"/>
      <c r="O12" s="35"/>
      <c r="P12" s="35"/>
      <c r="Q12" s="36"/>
      <c r="R12" s="39"/>
      <c r="S12" s="35"/>
      <c r="T12" s="37"/>
      <c r="U12" s="68"/>
    </row>
    <row r="13" spans="2:25" ht="24.95" customHeight="1" x14ac:dyDescent="0.25">
      <c r="B13" s="34"/>
      <c r="C13" s="35"/>
      <c r="D13" s="35"/>
      <c r="E13" s="35"/>
      <c r="F13" s="35"/>
      <c r="G13" s="35"/>
      <c r="H13" s="35"/>
      <c r="I13" s="35"/>
      <c r="J13" s="35"/>
      <c r="K13" s="34"/>
      <c r="L13" s="43"/>
      <c r="M13" s="39"/>
      <c r="N13" s="34"/>
      <c r="O13" s="35"/>
      <c r="P13" s="35"/>
      <c r="Q13" s="36"/>
      <c r="R13" s="39"/>
      <c r="S13" s="35"/>
      <c r="T13" s="37"/>
      <c r="U13" s="68"/>
    </row>
    <row r="14" spans="2:25" ht="24.95" customHeight="1" x14ac:dyDescent="0.25">
      <c r="B14" s="34"/>
      <c r="C14" s="35"/>
      <c r="D14" s="35"/>
      <c r="E14" s="35"/>
      <c r="F14" s="35"/>
      <c r="G14" s="35"/>
      <c r="H14" s="35"/>
      <c r="I14" s="35"/>
      <c r="J14" s="35"/>
      <c r="K14" s="34"/>
      <c r="L14" s="43"/>
      <c r="M14" s="39"/>
      <c r="N14" s="34"/>
      <c r="O14" s="35"/>
      <c r="P14" s="35"/>
      <c r="Q14" s="36"/>
      <c r="R14" s="39"/>
      <c r="S14" s="35"/>
      <c r="T14" s="37"/>
      <c r="U14" s="68"/>
    </row>
    <row r="15" spans="2:25" ht="24.95" customHeight="1" x14ac:dyDescent="0.25">
      <c r="B15" s="34"/>
      <c r="C15" s="35"/>
      <c r="D15" s="35"/>
      <c r="E15" s="35"/>
      <c r="F15" s="35"/>
      <c r="G15" s="35"/>
      <c r="H15" s="35"/>
      <c r="I15" s="35"/>
      <c r="J15" s="35"/>
      <c r="K15" s="34"/>
      <c r="L15" s="43"/>
      <c r="M15" s="39"/>
      <c r="N15" s="34"/>
      <c r="O15" s="35"/>
      <c r="P15" s="35"/>
      <c r="Q15" s="36"/>
      <c r="R15" s="39"/>
      <c r="S15" s="35"/>
      <c r="T15" s="37"/>
      <c r="U15" s="68"/>
    </row>
    <row r="16" spans="2:25" ht="24.95" customHeight="1" x14ac:dyDescent="0.25">
      <c r="B16" s="34"/>
      <c r="C16" s="35"/>
      <c r="D16" s="35"/>
      <c r="E16" s="35"/>
      <c r="F16" s="35"/>
      <c r="G16" s="35"/>
      <c r="H16" s="35"/>
      <c r="I16" s="35"/>
      <c r="J16" s="35"/>
      <c r="K16" s="34"/>
      <c r="L16" s="43"/>
      <c r="M16" s="39"/>
      <c r="N16" s="34"/>
      <c r="O16" s="35"/>
      <c r="P16" s="35"/>
      <c r="Q16" s="36"/>
      <c r="R16" s="39"/>
      <c r="S16" s="35"/>
      <c r="T16" s="37"/>
      <c r="U16" s="68"/>
    </row>
    <row r="17" spans="2:21" ht="24.95" customHeight="1" x14ac:dyDescent="0.25">
      <c r="B17" s="34"/>
      <c r="C17" s="35"/>
      <c r="D17" s="35"/>
      <c r="E17" s="35"/>
      <c r="F17" s="35"/>
      <c r="G17" s="35"/>
      <c r="H17" s="35"/>
      <c r="I17" s="35"/>
      <c r="J17" s="35"/>
      <c r="K17" s="34"/>
      <c r="L17" s="43"/>
      <c r="M17" s="38"/>
      <c r="N17" s="34"/>
      <c r="O17" s="35"/>
      <c r="P17" s="35"/>
      <c r="Q17" s="36"/>
      <c r="R17" s="39"/>
      <c r="S17" s="35"/>
      <c r="T17" s="37"/>
      <c r="U17" s="68"/>
    </row>
    <row r="18" spans="2:21" ht="24.95" customHeight="1" x14ac:dyDescent="0.25">
      <c r="B18" s="34"/>
      <c r="C18" s="35"/>
      <c r="D18" s="35"/>
      <c r="E18" s="35"/>
      <c r="F18" s="35"/>
      <c r="G18" s="35"/>
      <c r="H18" s="35"/>
      <c r="I18" s="35"/>
      <c r="J18" s="35"/>
      <c r="K18" s="34"/>
      <c r="L18" s="43"/>
      <c r="M18" s="38"/>
      <c r="N18" s="34"/>
      <c r="O18" s="35"/>
      <c r="P18" s="35"/>
      <c r="Q18" s="36"/>
      <c r="R18" s="39"/>
      <c r="S18" s="35"/>
      <c r="T18" s="37"/>
      <c r="U18" s="68"/>
    </row>
    <row r="19" spans="2:21" ht="24.95" customHeight="1" x14ac:dyDescent="0.25">
      <c r="B19" s="34"/>
      <c r="C19" s="35"/>
      <c r="D19" s="35"/>
      <c r="E19" s="35"/>
      <c r="F19" s="35"/>
      <c r="G19" s="35"/>
      <c r="H19" s="35"/>
      <c r="I19" s="35"/>
      <c r="J19" s="35"/>
      <c r="K19" s="34"/>
      <c r="L19" s="43"/>
      <c r="M19" s="38"/>
      <c r="N19" s="34"/>
      <c r="O19" s="35"/>
      <c r="P19" s="35"/>
      <c r="Q19" s="36"/>
      <c r="R19" s="39"/>
      <c r="S19" s="35"/>
      <c r="T19" s="37"/>
      <c r="U19" s="68"/>
    </row>
  </sheetData>
  <conditionalFormatting sqref="C14:H16">
    <cfRule type="expression" dxfId="62" priority="23">
      <formula>MOD(ROW(),2)=0</formula>
    </cfRule>
    <cfRule type="expression" dxfId="61" priority="24">
      <formula>MOD(ROW(),2)=1</formula>
    </cfRule>
  </conditionalFormatting>
  <conditionalFormatting sqref="B7:B1048576">
    <cfRule type="expression" dxfId="60" priority="19">
      <formula>MOD(ROW(),2)=0</formula>
    </cfRule>
    <cfRule type="expression" dxfId="59" priority="20">
      <formula>MOD(ROW(),2)=1</formula>
    </cfRule>
  </conditionalFormatting>
  <conditionalFormatting sqref="C13:H13">
    <cfRule type="expression" dxfId="58" priority="17">
      <formula>MOD(ROW(),2)=0</formula>
    </cfRule>
    <cfRule type="expression" dxfId="57" priority="18">
      <formula>MOD(ROW(),2)=1</formula>
    </cfRule>
  </conditionalFormatting>
  <conditionalFormatting sqref="C13:H13">
    <cfRule type="expression" dxfId="56" priority="16">
      <formula>ROW()=$M$5</formula>
    </cfRule>
  </conditionalFormatting>
  <conditionalFormatting sqref="C9:H10">
    <cfRule type="expression" dxfId="55" priority="14">
      <formula>MOD(ROW(),2)=0</formula>
    </cfRule>
    <cfRule type="expression" dxfId="54" priority="15">
      <formula>MOD(ROW(),2)=1</formula>
    </cfRule>
  </conditionalFormatting>
  <conditionalFormatting sqref="C9:H10">
    <cfRule type="expression" dxfId="53" priority="13">
      <formula>ROW()=$M$5</formula>
    </cfRule>
  </conditionalFormatting>
  <conditionalFormatting sqref="C12:H12">
    <cfRule type="expression" dxfId="52" priority="8">
      <formula>MOD(ROW(),2)=0</formula>
    </cfRule>
    <cfRule type="expression" dxfId="51" priority="9">
      <formula>MOD(ROW(),2)=1</formula>
    </cfRule>
  </conditionalFormatting>
  <conditionalFormatting sqref="C12:H12">
    <cfRule type="expression" dxfId="50" priority="7">
      <formula>ROW()=$M$5</formula>
    </cfRule>
  </conditionalFormatting>
  <conditionalFormatting sqref="C11:H11">
    <cfRule type="expression" dxfId="49" priority="11">
      <formula>MOD(ROW(),2)=0</formula>
    </cfRule>
    <cfRule type="expression" dxfId="48" priority="12">
      <formula>MOD(ROW(),2)=1</formula>
    </cfRule>
  </conditionalFormatting>
  <conditionalFormatting sqref="C11:H11">
    <cfRule type="expression" dxfId="47" priority="10">
      <formula>ROW()=$M$5</formula>
    </cfRule>
  </conditionalFormatting>
  <conditionalFormatting sqref="C7:H7">
    <cfRule type="expression" dxfId="46" priority="5">
      <formula>MOD(ROW(),2)=0</formula>
    </cfRule>
    <cfRule type="expression" dxfId="45" priority="6">
      <formula>MOD(ROW(),2)=1</formula>
    </cfRule>
  </conditionalFormatting>
  <conditionalFormatting sqref="C7:H7">
    <cfRule type="expression" dxfId="44" priority="4">
      <formula>ROW()=$M$5</formula>
    </cfRule>
  </conditionalFormatting>
  <conditionalFormatting sqref="C8:H8">
    <cfRule type="expression" dxfId="43" priority="2">
      <formula>MOD(ROW(),2)=0</formula>
    </cfRule>
    <cfRule type="expression" dxfId="42" priority="3">
      <formula>MOD(ROW(),2)=1</formula>
    </cfRule>
  </conditionalFormatting>
  <conditionalFormatting sqref="C8:H8">
    <cfRule type="expression" dxfId="41" priority="1">
      <formula>ROW()=$M$5</formula>
    </cfRule>
  </conditionalFormatting>
  <conditionalFormatting sqref="C7:T1048576">
    <cfRule type="expression" dxfId="40" priority="21">
      <formula>MOD(ROW(),2)=0</formula>
    </cfRule>
    <cfRule type="expression" dxfId="39" priority="22">
      <formula>MOD(ROW(),2)=1</formula>
    </cfRule>
  </conditionalFormatting>
  <dataValidations count="2">
    <dataValidation type="decimal" allowBlank="1" showInputMessage="1" showErrorMessage="1" sqref="H1:H1048576" xr:uid="{5B5F1496-BD65-41B6-BF60-80628282B671}">
      <formula1>1</formula1>
      <formula2>100</formula2>
    </dataValidation>
    <dataValidation type="decimal" allowBlank="1" showInputMessage="1" showErrorMessage="1" sqref="G1:G1048576" xr:uid="{1F63DCCC-148F-4E0B-9CBC-D3E064E8830C}">
      <formula1>-50</formula1>
      <formula2>50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697" r:id="rId4" name="PID">
          <controlPr defaultSize="0" autoLine="0" autoPict="0" r:id="rId5">
            <anchor moveWithCells="1" sizeWithCells="1">
              <from>
                <xdr:col>4</xdr:col>
                <xdr:colOff>276225</xdr:colOff>
                <xdr:row>2</xdr:row>
                <xdr:rowOff>295275</xdr:rowOff>
              </from>
              <to>
                <xdr:col>5</xdr:col>
                <xdr:colOff>19050</xdr:colOff>
                <xdr:row>4</xdr:row>
                <xdr:rowOff>19050</xdr:rowOff>
              </to>
            </anchor>
          </controlPr>
        </control>
      </mc:Choice>
      <mc:Fallback>
        <control shapeId="29697" r:id="rId4" name="PI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D41E7-0E4D-46EE-B8B4-0648EF5C5704}">
  <sheetPr codeName="Lembar9"/>
  <dimension ref="A1:AJ310"/>
  <sheetViews>
    <sheetView zoomScaleNormal="100" workbookViewId="0">
      <selection activeCell="E12" sqref="E12"/>
    </sheetView>
  </sheetViews>
  <sheetFormatPr defaultRowHeight="24.95" customHeight="1" x14ac:dyDescent="0.25"/>
  <cols>
    <col min="1" max="1" width="12.42578125" style="1" customWidth="1"/>
    <col min="2" max="2" width="9" style="80" customWidth="1"/>
    <col min="3" max="3" width="24.28515625" style="11" customWidth="1"/>
    <col min="4" max="4" width="12.42578125" style="11" customWidth="1"/>
    <col min="5" max="5" width="26.140625" style="62" customWidth="1"/>
    <col min="6" max="6" width="36" style="11" customWidth="1"/>
    <col min="7" max="7" width="26.28515625" style="11" customWidth="1"/>
    <col min="8" max="8" width="32.85546875" style="11" customWidth="1"/>
    <col min="9" max="9" width="26.140625" style="11" customWidth="1"/>
    <col min="10" max="10" width="18" style="11" customWidth="1"/>
    <col min="11" max="11" width="19.28515625" style="11" customWidth="1"/>
    <col min="12" max="12" width="5.42578125" style="17" hidden="1" customWidth="1"/>
    <col min="13" max="13" width="7.42578125" style="1" hidden="1" customWidth="1"/>
    <col min="14" max="14" width="9.28515625" style="1" customWidth="1"/>
    <col min="15" max="15" width="9.140625" style="1"/>
    <col min="16" max="16" width="9.42578125" style="1" customWidth="1"/>
    <col min="17" max="17" width="8.7109375" style="1" customWidth="1"/>
    <col min="18" max="18" width="8.28515625" style="1" customWidth="1"/>
    <col min="19" max="19" width="10.85546875" style="1" customWidth="1"/>
    <col min="20" max="20" width="9.42578125" style="1" customWidth="1"/>
    <col min="21" max="21" width="5.7109375" style="14" customWidth="1"/>
    <col min="22" max="22" width="10.140625" style="14" customWidth="1"/>
    <col min="23" max="23" width="12.140625" style="14" customWidth="1"/>
    <col min="24" max="24" width="9" style="14" customWidth="1"/>
    <col min="25" max="25" width="22" style="1" customWidth="1"/>
    <col min="26" max="26" width="16.85546875" style="1" customWidth="1"/>
    <col min="27" max="35" width="9.140625" style="1"/>
    <col min="36" max="36" width="18.140625" style="1" hidden="1" customWidth="1"/>
    <col min="37" max="16384" width="9.140625" style="1"/>
  </cols>
  <sheetData>
    <row r="1" spans="1:36" ht="24.95" customHeight="1" x14ac:dyDescent="0.25">
      <c r="F1" s="59"/>
      <c r="G1" s="56"/>
      <c r="H1" s="56"/>
      <c r="U1" s="1"/>
      <c r="AJ1" s="1" t="s">
        <v>569</v>
      </c>
    </row>
    <row r="2" spans="1:36" ht="24.95" customHeight="1" x14ac:dyDescent="0.25">
      <c r="A2" s="57"/>
      <c r="U2" s="1"/>
      <c r="AJ2" s="1" t="s">
        <v>584</v>
      </c>
    </row>
    <row r="3" spans="1:36" ht="24.95" customHeight="1" x14ac:dyDescent="0.25">
      <c r="C3" s="88" t="s">
        <v>661</v>
      </c>
      <c r="E3" s="63"/>
      <c r="H3" s="59"/>
      <c r="U3" s="1"/>
    </row>
    <row r="4" spans="1:36" ht="30" customHeight="1" x14ac:dyDescent="0.25">
      <c r="C4" s="78">
        <v>44501</v>
      </c>
      <c r="E4" s="79" t="s">
        <v>116</v>
      </c>
      <c r="H4" s="59"/>
      <c r="U4" s="1"/>
    </row>
    <row r="5" spans="1:36" ht="24.95" customHeight="1" x14ac:dyDescent="0.25">
      <c r="L5" s="17">
        <v>9</v>
      </c>
      <c r="M5" s="1">
        <v>4</v>
      </c>
      <c r="U5" s="1"/>
    </row>
    <row r="6" spans="1:36" ht="24.95" customHeight="1" x14ac:dyDescent="0.25">
      <c r="B6" s="15" t="s">
        <v>658</v>
      </c>
      <c r="C6" s="12" t="s">
        <v>379</v>
      </c>
      <c r="D6" s="12" t="s">
        <v>380</v>
      </c>
      <c r="E6" s="12" t="s">
        <v>643</v>
      </c>
      <c r="F6" s="12" t="s">
        <v>381</v>
      </c>
      <c r="G6" s="12" t="s">
        <v>382</v>
      </c>
      <c r="H6" s="12" t="s">
        <v>383</v>
      </c>
      <c r="I6" s="12" t="s">
        <v>435</v>
      </c>
      <c r="J6" s="12" t="s">
        <v>385</v>
      </c>
      <c r="K6" s="12" t="s">
        <v>384</v>
      </c>
      <c r="M6" s="1">
        <v>3</v>
      </c>
      <c r="O6" s="2"/>
      <c r="U6" s="1"/>
    </row>
    <row r="7" spans="1:36" ht="24.95" customHeight="1" x14ac:dyDescent="0.25">
      <c r="B7" s="81"/>
      <c r="E7" s="58"/>
      <c r="G7" s="56"/>
      <c r="U7" s="1"/>
    </row>
    <row r="8" spans="1:36" ht="24.95" customHeight="1" x14ac:dyDescent="0.25">
      <c r="B8" s="81"/>
      <c r="E8" s="61"/>
      <c r="G8" s="56"/>
    </row>
    <row r="9" spans="1:36" ht="24.95" customHeight="1" x14ac:dyDescent="0.25">
      <c r="B9" s="81"/>
      <c r="D9" s="55"/>
      <c r="E9" s="58"/>
      <c r="G9" s="56"/>
    </row>
    <row r="10" spans="1:36" ht="24.95" customHeight="1" x14ac:dyDescent="0.25">
      <c r="B10" s="81"/>
      <c r="E10" s="58"/>
      <c r="G10" s="56"/>
    </row>
    <row r="11" spans="1:36" ht="24.95" customHeight="1" x14ac:dyDescent="0.25">
      <c r="B11" s="81"/>
      <c r="E11" s="58"/>
      <c r="G11" s="56"/>
    </row>
    <row r="12" spans="1:36" ht="24.95" customHeight="1" x14ac:dyDescent="0.25">
      <c r="B12" s="81"/>
      <c r="E12" s="58"/>
      <c r="G12" s="56"/>
    </row>
    <row r="13" spans="1:36" ht="24.95" customHeight="1" x14ac:dyDescent="0.25">
      <c r="B13" s="81"/>
      <c r="E13" s="58"/>
      <c r="G13" s="56"/>
    </row>
    <row r="14" spans="1:36" ht="24.95" customHeight="1" x14ac:dyDescent="0.25">
      <c r="B14" s="81"/>
      <c r="G14" s="56"/>
    </row>
    <row r="15" spans="1:36" ht="24.95" customHeight="1" x14ac:dyDescent="0.25">
      <c r="B15" s="81"/>
      <c r="G15" s="56"/>
    </row>
    <row r="16" spans="1:36" ht="24.95" customHeight="1" x14ac:dyDescent="0.25">
      <c r="B16" s="81"/>
      <c r="G16" s="56"/>
    </row>
    <row r="17" spans="2:7" ht="24.95" customHeight="1" x14ac:dyDescent="0.25">
      <c r="B17" s="81"/>
      <c r="G17" s="56"/>
    </row>
    <row r="18" spans="2:7" ht="24.95" customHeight="1" x14ac:dyDescent="0.25">
      <c r="B18" s="81"/>
      <c r="G18" s="56"/>
    </row>
    <row r="19" spans="2:7" ht="24.95" customHeight="1" x14ac:dyDescent="0.25">
      <c r="B19" s="81"/>
      <c r="G19" s="56"/>
    </row>
    <row r="20" spans="2:7" ht="24.95" customHeight="1" x14ac:dyDescent="0.25">
      <c r="B20" s="81"/>
      <c r="G20" s="56"/>
    </row>
    <row r="21" spans="2:7" ht="24.95" customHeight="1" x14ac:dyDescent="0.25">
      <c r="B21" s="81"/>
      <c r="G21" s="56"/>
    </row>
    <row r="22" spans="2:7" ht="24.95" customHeight="1" x14ac:dyDescent="0.25">
      <c r="B22" s="81"/>
      <c r="G22" s="56"/>
    </row>
    <row r="23" spans="2:7" ht="24.95" customHeight="1" x14ac:dyDescent="0.25">
      <c r="B23" s="81"/>
      <c r="G23" s="56"/>
    </row>
    <row r="24" spans="2:7" ht="24.95" customHeight="1" x14ac:dyDescent="0.25">
      <c r="B24" s="81"/>
      <c r="G24" s="56"/>
    </row>
    <row r="25" spans="2:7" ht="24.95" customHeight="1" x14ac:dyDescent="0.25">
      <c r="B25" s="81"/>
      <c r="G25" s="56"/>
    </row>
    <row r="26" spans="2:7" ht="24.95" customHeight="1" x14ac:dyDescent="0.25">
      <c r="B26" s="81"/>
      <c r="G26" s="56"/>
    </row>
    <row r="27" spans="2:7" ht="24.95" customHeight="1" x14ac:dyDescent="0.25">
      <c r="B27" s="81"/>
      <c r="G27" s="56"/>
    </row>
    <row r="28" spans="2:7" ht="24.95" customHeight="1" x14ac:dyDescent="0.25">
      <c r="B28" s="81"/>
    </row>
    <row r="29" spans="2:7" ht="24.95" customHeight="1" x14ac:dyDescent="0.25">
      <c r="B29" s="81"/>
    </row>
    <row r="30" spans="2:7" ht="24.95" customHeight="1" x14ac:dyDescent="0.25">
      <c r="B30" s="81"/>
    </row>
    <row r="31" spans="2:7" ht="24.95" customHeight="1" x14ac:dyDescent="0.25">
      <c r="B31" s="81"/>
    </row>
    <row r="32" spans="2:7" ht="24.95" customHeight="1" x14ac:dyDescent="0.25">
      <c r="B32" s="81"/>
    </row>
    <row r="33" spans="2:2" ht="24.95" customHeight="1" x14ac:dyDescent="0.25">
      <c r="B33" s="81"/>
    </row>
    <row r="34" spans="2:2" ht="24.95" customHeight="1" x14ac:dyDescent="0.25">
      <c r="B34" s="81"/>
    </row>
    <row r="35" spans="2:2" ht="24.95" customHeight="1" x14ac:dyDescent="0.25">
      <c r="B35" s="81"/>
    </row>
    <row r="36" spans="2:2" ht="24.95" customHeight="1" x14ac:dyDescent="0.25">
      <c r="B36" s="81"/>
    </row>
    <row r="37" spans="2:2" ht="24.95" customHeight="1" x14ac:dyDescent="0.25">
      <c r="B37" s="81"/>
    </row>
    <row r="38" spans="2:2" ht="24.95" customHeight="1" x14ac:dyDescent="0.25">
      <c r="B38" s="81"/>
    </row>
    <row r="39" spans="2:2" ht="24.95" customHeight="1" x14ac:dyDescent="0.25">
      <c r="B39" s="81"/>
    </row>
    <row r="40" spans="2:2" ht="24.95" customHeight="1" x14ac:dyDescent="0.25">
      <c r="B40" s="81"/>
    </row>
    <row r="41" spans="2:2" ht="24.95" customHeight="1" x14ac:dyDescent="0.25">
      <c r="B41" s="81"/>
    </row>
    <row r="42" spans="2:2" ht="24.95" customHeight="1" x14ac:dyDescent="0.25">
      <c r="B42" s="81"/>
    </row>
    <row r="43" spans="2:2" ht="24.95" customHeight="1" x14ac:dyDescent="0.25">
      <c r="B43" s="81"/>
    </row>
    <row r="44" spans="2:2" ht="24.95" customHeight="1" x14ac:dyDescent="0.25">
      <c r="B44" s="81"/>
    </row>
    <row r="45" spans="2:2" ht="24.95" customHeight="1" x14ac:dyDescent="0.25">
      <c r="B45" s="81"/>
    </row>
    <row r="46" spans="2:2" ht="24.95" customHeight="1" x14ac:dyDescent="0.25">
      <c r="B46" s="81"/>
    </row>
    <row r="47" spans="2:2" ht="24.95" customHeight="1" x14ac:dyDescent="0.25">
      <c r="B47" s="81"/>
    </row>
    <row r="48" spans="2:2" ht="24.95" customHeight="1" x14ac:dyDescent="0.25">
      <c r="B48" s="81"/>
    </row>
    <row r="49" spans="2:2" ht="24.95" customHeight="1" x14ac:dyDescent="0.25">
      <c r="B49" s="81"/>
    </row>
    <row r="50" spans="2:2" ht="24.95" customHeight="1" x14ac:dyDescent="0.25">
      <c r="B50" s="81"/>
    </row>
    <row r="51" spans="2:2" ht="24.95" customHeight="1" x14ac:dyDescent="0.25">
      <c r="B51" s="81"/>
    </row>
    <row r="52" spans="2:2" ht="24.95" customHeight="1" x14ac:dyDescent="0.25">
      <c r="B52" s="81"/>
    </row>
    <row r="53" spans="2:2" ht="24.95" customHeight="1" x14ac:dyDescent="0.25">
      <c r="B53" s="81"/>
    </row>
    <row r="54" spans="2:2" ht="24.95" customHeight="1" x14ac:dyDescent="0.25">
      <c r="B54" s="81"/>
    </row>
    <row r="55" spans="2:2" ht="24.95" customHeight="1" x14ac:dyDescent="0.25">
      <c r="B55" s="81"/>
    </row>
    <row r="56" spans="2:2" ht="24.95" customHeight="1" x14ac:dyDescent="0.25">
      <c r="B56" s="81"/>
    </row>
    <row r="57" spans="2:2" ht="24.95" customHeight="1" x14ac:dyDescent="0.25">
      <c r="B57" s="81"/>
    </row>
    <row r="58" spans="2:2" ht="24.95" customHeight="1" x14ac:dyDescent="0.25">
      <c r="B58" s="81"/>
    </row>
    <row r="59" spans="2:2" ht="24.95" customHeight="1" x14ac:dyDescent="0.25">
      <c r="B59" s="81"/>
    </row>
    <row r="60" spans="2:2" ht="24.95" customHeight="1" x14ac:dyDescent="0.25">
      <c r="B60" s="81"/>
    </row>
    <row r="61" spans="2:2" ht="24.95" customHeight="1" x14ac:dyDescent="0.25">
      <c r="B61" s="81"/>
    </row>
    <row r="62" spans="2:2" ht="24.95" customHeight="1" x14ac:dyDescent="0.25">
      <c r="B62" s="81"/>
    </row>
    <row r="63" spans="2:2" ht="24.95" customHeight="1" x14ac:dyDescent="0.25">
      <c r="B63" s="81"/>
    </row>
    <row r="64" spans="2:2" ht="24.95" customHeight="1" x14ac:dyDescent="0.25">
      <c r="B64" s="81"/>
    </row>
    <row r="65" spans="2:2" ht="24.95" customHeight="1" x14ac:dyDescent="0.25">
      <c r="B65" s="81"/>
    </row>
    <row r="66" spans="2:2" ht="24.95" customHeight="1" x14ac:dyDescent="0.25">
      <c r="B66" s="81"/>
    </row>
    <row r="67" spans="2:2" ht="24.95" customHeight="1" x14ac:dyDescent="0.25">
      <c r="B67" s="81"/>
    </row>
    <row r="68" spans="2:2" ht="24.95" customHeight="1" x14ac:dyDescent="0.25">
      <c r="B68" s="81"/>
    </row>
    <row r="69" spans="2:2" ht="24.95" customHeight="1" x14ac:dyDescent="0.25">
      <c r="B69" s="81"/>
    </row>
    <row r="70" spans="2:2" ht="24.95" customHeight="1" x14ac:dyDescent="0.25">
      <c r="B70" s="81"/>
    </row>
    <row r="71" spans="2:2" ht="24.95" customHeight="1" x14ac:dyDescent="0.25">
      <c r="B71" s="81"/>
    </row>
    <row r="72" spans="2:2" ht="24.95" customHeight="1" x14ac:dyDescent="0.25">
      <c r="B72" s="81"/>
    </row>
    <row r="73" spans="2:2" ht="24.95" customHeight="1" x14ac:dyDescent="0.25">
      <c r="B73" s="81"/>
    </row>
    <row r="74" spans="2:2" ht="24.95" customHeight="1" x14ac:dyDescent="0.25">
      <c r="B74" s="81"/>
    </row>
    <row r="75" spans="2:2" ht="24.95" customHeight="1" x14ac:dyDescent="0.25">
      <c r="B75" s="81"/>
    </row>
    <row r="76" spans="2:2" ht="24.95" customHeight="1" x14ac:dyDescent="0.25">
      <c r="B76" s="81"/>
    </row>
    <row r="77" spans="2:2" ht="24.95" customHeight="1" x14ac:dyDescent="0.25">
      <c r="B77" s="81"/>
    </row>
    <row r="78" spans="2:2" ht="24.95" customHeight="1" x14ac:dyDescent="0.25">
      <c r="B78" s="81"/>
    </row>
    <row r="79" spans="2:2" ht="24.95" customHeight="1" x14ac:dyDescent="0.25">
      <c r="B79" s="81"/>
    </row>
    <row r="80" spans="2:2" ht="24.95" customHeight="1" x14ac:dyDescent="0.25">
      <c r="B80" s="81"/>
    </row>
    <row r="81" spans="2:2" ht="24.95" customHeight="1" x14ac:dyDescent="0.25">
      <c r="B81" s="81"/>
    </row>
    <row r="82" spans="2:2" ht="24.95" customHeight="1" x14ac:dyDescent="0.25">
      <c r="B82" s="81"/>
    </row>
    <row r="83" spans="2:2" ht="24.95" customHeight="1" x14ac:dyDescent="0.25">
      <c r="B83" s="81"/>
    </row>
    <row r="84" spans="2:2" ht="24.95" customHeight="1" x14ac:dyDescent="0.25">
      <c r="B84" s="81"/>
    </row>
    <row r="85" spans="2:2" ht="24.95" customHeight="1" x14ac:dyDescent="0.25">
      <c r="B85" s="81"/>
    </row>
    <row r="86" spans="2:2" ht="24.95" customHeight="1" x14ac:dyDescent="0.25">
      <c r="B86" s="81"/>
    </row>
    <row r="87" spans="2:2" ht="24.95" customHeight="1" x14ac:dyDescent="0.25">
      <c r="B87" s="81"/>
    </row>
    <row r="88" spans="2:2" ht="24.95" customHeight="1" x14ac:dyDescent="0.25">
      <c r="B88" s="81"/>
    </row>
    <row r="89" spans="2:2" ht="24.95" customHeight="1" x14ac:dyDescent="0.25">
      <c r="B89" s="81"/>
    </row>
    <row r="90" spans="2:2" ht="24.95" customHeight="1" x14ac:dyDescent="0.25">
      <c r="B90" s="81"/>
    </row>
    <row r="91" spans="2:2" ht="24.95" customHeight="1" x14ac:dyDescent="0.25">
      <c r="B91" s="81"/>
    </row>
    <row r="92" spans="2:2" ht="24.95" customHeight="1" x14ac:dyDescent="0.25">
      <c r="B92" s="81"/>
    </row>
    <row r="93" spans="2:2" ht="24.95" customHeight="1" x14ac:dyDescent="0.25">
      <c r="B93" s="81"/>
    </row>
    <row r="94" spans="2:2" ht="24.95" customHeight="1" x14ac:dyDescent="0.25">
      <c r="B94" s="81"/>
    </row>
    <row r="95" spans="2:2" ht="24.95" customHeight="1" x14ac:dyDescent="0.25">
      <c r="B95" s="81"/>
    </row>
    <row r="96" spans="2:2" ht="24.95" customHeight="1" x14ac:dyDescent="0.25">
      <c r="B96" s="81"/>
    </row>
    <row r="97" spans="2:2" ht="24.95" customHeight="1" x14ac:dyDescent="0.25">
      <c r="B97" s="81"/>
    </row>
    <row r="98" spans="2:2" ht="24.95" customHeight="1" x14ac:dyDescent="0.25">
      <c r="B98" s="81"/>
    </row>
    <row r="99" spans="2:2" ht="24.95" customHeight="1" x14ac:dyDescent="0.25">
      <c r="B99" s="81"/>
    </row>
    <row r="100" spans="2:2" ht="24.95" customHeight="1" x14ac:dyDescent="0.25">
      <c r="B100" s="81"/>
    </row>
    <row r="101" spans="2:2" ht="24.95" customHeight="1" x14ac:dyDescent="0.25">
      <c r="B101" s="81"/>
    </row>
    <row r="102" spans="2:2" ht="24.95" customHeight="1" x14ac:dyDescent="0.25">
      <c r="B102" s="81"/>
    </row>
    <row r="103" spans="2:2" ht="24.95" customHeight="1" x14ac:dyDescent="0.25">
      <c r="B103" s="81"/>
    </row>
    <row r="104" spans="2:2" ht="24.95" customHeight="1" x14ac:dyDescent="0.25">
      <c r="B104" s="81"/>
    </row>
    <row r="105" spans="2:2" ht="24.95" customHeight="1" x14ac:dyDescent="0.25">
      <c r="B105" s="81"/>
    </row>
    <row r="106" spans="2:2" ht="24.95" customHeight="1" x14ac:dyDescent="0.25">
      <c r="B106" s="81"/>
    </row>
    <row r="107" spans="2:2" ht="24.95" customHeight="1" x14ac:dyDescent="0.25">
      <c r="B107" s="81"/>
    </row>
    <row r="108" spans="2:2" ht="24.95" customHeight="1" x14ac:dyDescent="0.25">
      <c r="B108" s="81"/>
    </row>
    <row r="109" spans="2:2" ht="24.95" customHeight="1" x14ac:dyDescent="0.25">
      <c r="B109" s="81"/>
    </row>
    <row r="110" spans="2:2" ht="24.95" customHeight="1" x14ac:dyDescent="0.25">
      <c r="B110" s="81"/>
    </row>
    <row r="111" spans="2:2" ht="24.95" customHeight="1" x14ac:dyDescent="0.25">
      <c r="B111" s="81"/>
    </row>
    <row r="112" spans="2:2" ht="24.95" customHeight="1" x14ac:dyDescent="0.25">
      <c r="B112" s="81"/>
    </row>
    <row r="113" spans="2:2" ht="24.95" customHeight="1" x14ac:dyDescent="0.25">
      <c r="B113" s="81"/>
    </row>
    <row r="114" spans="2:2" ht="24.95" customHeight="1" x14ac:dyDescent="0.25">
      <c r="B114" s="81"/>
    </row>
    <row r="115" spans="2:2" ht="24.95" customHeight="1" x14ac:dyDescent="0.25">
      <c r="B115" s="81"/>
    </row>
    <row r="116" spans="2:2" ht="24.95" customHeight="1" x14ac:dyDescent="0.25">
      <c r="B116" s="81"/>
    </row>
    <row r="117" spans="2:2" ht="24.95" customHeight="1" x14ac:dyDescent="0.25">
      <c r="B117" s="81"/>
    </row>
    <row r="118" spans="2:2" ht="24.95" customHeight="1" x14ac:dyDescent="0.25">
      <c r="B118" s="81"/>
    </row>
    <row r="119" spans="2:2" ht="24.95" customHeight="1" x14ac:dyDescent="0.25">
      <c r="B119" s="81"/>
    </row>
    <row r="120" spans="2:2" ht="24.95" customHeight="1" x14ac:dyDescent="0.25">
      <c r="B120" s="81"/>
    </row>
    <row r="121" spans="2:2" ht="24.95" customHeight="1" x14ac:dyDescent="0.25">
      <c r="B121" s="81"/>
    </row>
    <row r="122" spans="2:2" ht="24.95" customHeight="1" x14ac:dyDescent="0.25">
      <c r="B122" s="81"/>
    </row>
    <row r="123" spans="2:2" ht="24.95" customHeight="1" x14ac:dyDescent="0.25">
      <c r="B123" s="81"/>
    </row>
    <row r="124" spans="2:2" ht="24.95" customHeight="1" x14ac:dyDescent="0.25">
      <c r="B124" s="81"/>
    </row>
    <row r="125" spans="2:2" ht="24.95" customHeight="1" x14ac:dyDescent="0.25">
      <c r="B125" s="81"/>
    </row>
    <row r="126" spans="2:2" ht="24.95" customHeight="1" x14ac:dyDescent="0.25">
      <c r="B126" s="81"/>
    </row>
    <row r="127" spans="2:2" ht="24.95" customHeight="1" x14ac:dyDescent="0.25">
      <c r="B127" s="81"/>
    </row>
    <row r="128" spans="2:2" ht="24.95" customHeight="1" x14ac:dyDescent="0.25">
      <c r="B128" s="81"/>
    </row>
    <row r="129" spans="2:2" ht="24.95" customHeight="1" x14ac:dyDescent="0.25">
      <c r="B129" s="81"/>
    </row>
    <row r="130" spans="2:2" ht="24.95" customHeight="1" x14ac:dyDescent="0.25">
      <c r="B130" s="81"/>
    </row>
    <row r="131" spans="2:2" ht="24.95" customHeight="1" x14ac:dyDescent="0.25">
      <c r="B131" s="81"/>
    </row>
    <row r="132" spans="2:2" ht="24.95" customHeight="1" x14ac:dyDescent="0.25">
      <c r="B132" s="81"/>
    </row>
    <row r="133" spans="2:2" ht="24.95" customHeight="1" x14ac:dyDescent="0.25">
      <c r="B133" s="81"/>
    </row>
    <row r="134" spans="2:2" ht="24.95" customHeight="1" x14ac:dyDescent="0.25">
      <c r="B134" s="81"/>
    </row>
    <row r="135" spans="2:2" ht="24.95" customHeight="1" x14ac:dyDescent="0.25">
      <c r="B135" s="81"/>
    </row>
    <row r="136" spans="2:2" ht="24.95" customHeight="1" x14ac:dyDescent="0.25">
      <c r="B136" s="81"/>
    </row>
    <row r="137" spans="2:2" ht="24.95" customHeight="1" x14ac:dyDescent="0.25">
      <c r="B137" s="81"/>
    </row>
    <row r="138" spans="2:2" ht="24.95" customHeight="1" x14ac:dyDescent="0.25">
      <c r="B138" s="81"/>
    </row>
    <row r="139" spans="2:2" ht="24.95" customHeight="1" x14ac:dyDescent="0.25">
      <c r="B139" s="81"/>
    </row>
    <row r="140" spans="2:2" ht="24.95" customHeight="1" x14ac:dyDescent="0.25">
      <c r="B140" s="81"/>
    </row>
    <row r="141" spans="2:2" ht="24.95" customHeight="1" x14ac:dyDescent="0.25">
      <c r="B141" s="81"/>
    </row>
    <row r="142" spans="2:2" ht="24.95" customHeight="1" x14ac:dyDescent="0.25">
      <c r="B142" s="81"/>
    </row>
    <row r="143" spans="2:2" ht="24.95" customHeight="1" x14ac:dyDescent="0.25">
      <c r="B143" s="81"/>
    </row>
    <row r="144" spans="2:2" ht="24.95" customHeight="1" x14ac:dyDescent="0.25">
      <c r="B144" s="81"/>
    </row>
    <row r="145" spans="2:2" ht="24.95" customHeight="1" x14ac:dyDescent="0.25">
      <c r="B145" s="81"/>
    </row>
    <row r="146" spans="2:2" ht="24.95" customHeight="1" x14ac:dyDescent="0.25">
      <c r="B146" s="81"/>
    </row>
    <row r="147" spans="2:2" ht="24.95" customHeight="1" x14ac:dyDescent="0.25">
      <c r="B147" s="81"/>
    </row>
    <row r="148" spans="2:2" ht="24.95" customHeight="1" x14ac:dyDescent="0.25">
      <c r="B148" s="81"/>
    </row>
    <row r="149" spans="2:2" ht="24.95" customHeight="1" x14ac:dyDescent="0.25">
      <c r="B149" s="81"/>
    </row>
    <row r="150" spans="2:2" ht="24.95" customHeight="1" x14ac:dyDescent="0.25">
      <c r="B150" s="81"/>
    </row>
    <row r="151" spans="2:2" ht="24.95" customHeight="1" x14ac:dyDescent="0.25">
      <c r="B151" s="81"/>
    </row>
    <row r="152" spans="2:2" ht="24.95" customHeight="1" x14ac:dyDescent="0.25">
      <c r="B152" s="81"/>
    </row>
    <row r="153" spans="2:2" ht="24.95" customHeight="1" x14ac:dyDescent="0.25">
      <c r="B153" s="81"/>
    </row>
    <row r="154" spans="2:2" ht="24.95" customHeight="1" x14ac:dyDescent="0.25">
      <c r="B154" s="81"/>
    </row>
    <row r="155" spans="2:2" ht="24.95" customHeight="1" x14ac:dyDescent="0.25">
      <c r="B155" s="81"/>
    </row>
    <row r="156" spans="2:2" ht="24.95" customHeight="1" x14ac:dyDescent="0.25">
      <c r="B156" s="81"/>
    </row>
    <row r="157" spans="2:2" ht="24.95" customHeight="1" x14ac:dyDescent="0.25">
      <c r="B157" s="81"/>
    </row>
    <row r="158" spans="2:2" ht="24.95" customHeight="1" x14ac:dyDescent="0.25">
      <c r="B158" s="81"/>
    </row>
    <row r="159" spans="2:2" ht="24.95" customHeight="1" x14ac:dyDescent="0.25">
      <c r="B159" s="81"/>
    </row>
    <row r="160" spans="2:2" ht="24.95" customHeight="1" x14ac:dyDescent="0.25">
      <c r="B160" s="81"/>
    </row>
    <row r="161" spans="2:2" ht="24.95" customHeight="1" x14ac:dyDescent="0.25">
      <c r="B161" s="81"/>
    </row>
    <row r="162" spans="2:2" ht="24.95" customHeight="1" x14ac:dyDescent="0.25">
      <c r="B162" s="81"/>
    </row>
    <row r="163" spans="2:2" ht="24.95" customHeight="1" x14ac:dyDescent="0.25">
      <c r="B163" s="81"/>
    </row>
    <row r="164" spans="2:2" ht="24.95" customHeight="1" x14ac:dyDescent="0.25">
      <c r="B164" s="81"/>
    </row>
    <row r="165" spans="2:2" ht="24.95" customHeight="1" x14ac:dyDescent="0.25">
      <c r="B165" s="81"/>
    </row>
    <row r="166" spans="2:2" ht="24.95" customHeight="1" x14ac:dyDescent="0.25">
      <c r="B166" s="81"/>
    </row>
    <row r="167" spans="2:2" ht="24.95" customHeight="1" x14ac:dyDescent="0.25">
      <c r="B167" s="81"/>
    </row>
    <row r="168" spans="2:2" ht="24.95" customHeight="1" x14ac:dyDescent="0.25">
      <c r="B168" s="81"/>
    </row>
    <row r="169" spans="2:2" ht="24.95" customHeight="1" x14ac:dyDescent="0.25">
      <c r="B169" s="81"/>
    </row>
    <row r="170" spans="2:2" ht="24.95" customHeight="1" x14ac:dyDescent="0.25">
      <c r="B170" s="81"/>
    </row>
    <row r="171" spans="2:2" ht="24.95" customHeight="1" x14ac:dyDescent="0.25">
      <c r="B171" s="81"/>
    </row>
    <row r="172" spans="2:2" ht="24.95" customHeight="1" x14ac:dyDescent="0.25">
      <c r="B172" s="81"/>
    </row>
    <row r="173" spans="2:2" ht="24.95" customHeight="1" x14ac:dyDescent="0.25">
      <c r="B173" s="81"/>
    </row>
    <row r="174" spans="2:2" ht="24.95" customHeight="1" x14ac:dyDescent="0.25">
      <c r="B174" s="81"/>
    </row>
    <row r="175" spans="2:2" ht="24.95" customHeight="1" x14ac:dyDescent="0.25">
      <c r="B175" s="81"/>
    </row>
    <row r="176" spans="2:2" ht="24.95" customHeight="1" x14ac:dyDescent="0.25">
      <c r="B176" s="81"/>
    </row>
    <row r="177" spans="2:2" ht="24.95" customHeight="1" x14ac:dyDescent="0.25">
      <c r="B177" s="81"/>
    </row>
    <row r="178" spans="2:2" ht="24.95" customHeight="1" x14ac:dyDescent="0.25">
      <c r="B178" s="81"/>
    </row>
    <row r="179" spans="2:2" ht="24.95" customHeight="1" x14ac:dyDescent="0.25">
      <c r="B179" s="81"/>
    </row>
    <row r="180" spans="2:2" ht="24.95" customHeight="1" x14ac:dyDescent="0.25">
      <c r="B180" s="81"/>
    </row>
    <row r="181" spans="2:2" ht="24.95" customHeight="1" x14ac:dyDescent="0.25">
      <c r="B181" s="81"/>
    </row>
    <row r="182" spans="2:2" ht="24.95" customHeight="1" x14ac:dyDescent="0.25">
      <c r="B182" s="81"/>
    </row>
    <row r="183" spans="2:2" ht="24.95" customHeight="1" x14ac:dyDescent="0.25">
      <c r="B183" s="81"/>
    </row>
    <row r="184" spans="2:2" ht="24.95" customHeight="1" x14ac:dyDescent="0.25">
      <c r="B184" s="81"/>
    </row>
    <row r="185" spans="2:2" ht="24.95" customHeight="1" x14ac:dyDescent="0.25">
      <c r="B185" s="81"/>
    </row>
    <row r="186" spans="2:2" ht="24.95" customHeight="1" x14ac:dyDescent="0.25">
      <c r="B186" s="81"/>
    </row>
    <row r="187" spans="2:2" ht="24.95" customHeight="1" x14ac:dyDescent="0.25">
      <c r="B187" s="81"/>
    </row>
    <row r="188" spans="2:2" ht="24.95" customHeight="1" x14ac:dyDescent="0.25">
      <c r="B188" s="81"/>
    </row>
    <row r="189" spans="2:2" ht="24.95" customHeight="1" x14ac:dyDescent="0.25">
      <c r="B189" s="81"/>
    </row>
    <row r="190" spans="2:2" ht="24.95" customHeight="1" x14ac:dyDescent="0.25">
      <c r="B190" s="81"/>
    </row>
    <row r="191" spans="2:2" ht="24.95" customHeight="1" x14ac:dyDescent="0.25">
      <c r="B191" s="81"/>
    </row>
    <row r="192" spans="2:2" ht="24.95" customHeight="1" x14ac:dyDescent="0.25">
      <c r="B192" s="81"/>
    </row>
    <row r="193" spans="2:2" ht="24.95" customHeight="1" x14ac:dyDescent="0.25">
      <c r="B193" s="81"/>
    </row>
    <row r="194" spans="2:2" ht="24.95" customHeight="1" x14ac:dyDescent="0.25">
      <c r="B194" s="81"/>
    </row>
    <row r="195" spans="2:2" ht="24.95" customHeight="1" x14ac:dyDescent="0.25">
      <c r="B195" s="81"/>
    </row>
    <row r="196" spans="2:2" ht="24.95" customHeight="1" x14ac:dyDescent="0.25">
      <c r="B196" s="81"/>
    </row>
    <row r="197" spans="2:2" ht="24.95" customHeight="1" x14ac:dyDescent="0.25">
      <c r="B197" s="81"/>
    </row>
    <row r="198" spans="2:2" ht="24.95" customHeight="1" x14ac:dyDescent="0.25">
      <c r="B198" s="81"/>
    </row>
    <row r="199" spans="2:2" ht="24.95" customHeight="1" x14ac:dyDescent="0.25">
      <c r="B199" s="81"/>
    </row>
    <row r="200" spans="2:2" ht="24.95" customHeight="1" x14ac:dyDescent="0.25">
      <c r="B200" s="81"/>
    </row>
    <row r="201" spans="2:2" ht="24.95" customHeight="1" x14ac:dyDescent="0.25">
      <c r="B201" s="81"/>
    </row>
    <row r="202" spans="2:2" ht="24.95" customHeight="1" x14ac:dyDescent="0.25">
      <c r="B202" s="81"/>
    </row>
    <row r="203" spans="2:2" ht="24.95" customHeight="1" x14ac:dyDescent="0.25">
      <c r="B203" s="81"/>
    </row>
    <row r="204" spans="2:2" ht="24.95" customHeight="1" x14ac:dyDescent="0.25">
      <c r="B204" s="81"/>
    </row>
    <row r="205" spans="2:2" ht="24.95" customHeight="1" x14ac:dyDescent="0.25">
      <c r="B205" s="81"/>
    </row>
    <row r="206" spans="2:2" ht="24.95" customHeight="1" x14ac:dyDescent="0.25">
      <c r="B206" s="81"/>
    </row>
    <row r="207" spans="2:2" ht="24.95" customHeight="1" x14ac:dyDescent="0.25">
      <c r="B207" s="81"/>
    </row>
    <row r="208" spans="2:2" ht="24.95" customHeight="1" x14ac:dyDescent="0.25">
      <c r="B208" s="81"/>
    </row>
    <row r="209" spans="2:2" ht="24.95" customHeight="1" x14ac:dyDescent="0.25">
      <c r="B209" s="81"/>
    </row>
    <row r="210" spans="2:2" ht="24.95" customHeight="1" x14ac:dyDescent="0.25">
      <c r="B210" s="81"/>
    </row>
    <row r="211" spans="2:2" ht="24.95" customHeight="1" x14ac:dyDescent="0.25">
      <c r="B211" s="81"/>
    </row>
    <row r="212" spans="2:2" ht="24.95" customHeight="1" x14ac:dyDescent="0.25">
      <c r="B212" s="81"/>
    </row>
    <row r="213" spans="2:2" ht="24.95" customHeight="1" x14ac:dyDescent="0.25">
      <c r="B213" s="81"/>
    </row>
    <row r="214" spans="2:2" ht="24.95" customHeight="1" x14ac:dyDescent="0.25">
      <c r="B214" s="81"/>
    </row>
    <row r="215" spans="2:2" ht="24.95" customHeight="1" x14ac:dyDescent="0.25">
      <c r="B215" s="81"/>
    </row>
    <row r="216" spans="2:2" ht="24.95" customHeight="1" x14ac:dyDescent="0.25">
      <c r="B216" s="81"/>
    </row>
    <row r="217" spans="2:2" ht="24.95" customHeight="1" x14ac:dyDescent="0.25">
      <c r="B217" s="81"/>
    </row>
    <row r="218" spans="2:2" ht="24.95" customHeight="1" x14ac:dyDescent="0.25">
      <c r="B218" s="81"/>
    </row>
    <row r="219" spans="2:2" ht="24.95" customHeight="1" x14ac:dyDescent="0.25">
      <c r="B219" s="81"/>
    </row>
    <row r="220" spans="2:2" ht="24.95" customHeight="1" x14ac:dyDescent="0.25">
      <c r="B220" s="81"/>
    </row>
    <row r="221" spans="2:2" ht="24.95" customHeight="1" x14ac:dyDescent="0.25">
      <c r="B221" s="81"/>
    </row>
    <row r="222" spans="2:2" ht="24.95" customHeight="1" x14ac:dyDescent="0.25">
      <c r="B222" s="81"/>
    </row>
    <row r="223" spans="2:2" ht="24.95" customHeight="1" x14ac:dyDescent="0.25">
      <c r="B223" s="81"/>
    </row>
    <row r="224" spans="2:2" ht="24.95" customHeight="1" x14ac:dyDescent="0.25">
      <c r="B224" s="81"/>
    </row>
    <row r="225" spans="2:2" ht="24.95" customHeight="1" x14ac:dyDescent="0.25">
      <c r="B225" s="81"/>
    </row>
    <row r="226" spans="2:2" ht="24.95" customHeight="1" x14ac:dyDescent="0.25">
      <c r="B226" s="81"/>
    </row>
    <row r="227" spans="2:2" ht="24.95" customHeight="1" x14ac:dyDescent="0.25">
      <c r="B227" s="81"/>
    </row>
    <row r="228" spans="2:2" ht="24.95" customHeight="1" x14ac:dyDescent="0.25">
      <c r="B228" s="81"/>
    </row>
    <row r="229" spans="2:2" ht="24.95" customHeight="1" x14ac:dyDescent="0.25">
      <c r="B229" s="81"/>
    </row>
    <row r="230" spans="2:2" ht="24.95" customHeight="1" x14ac:dyDescent="0.25">
      <c r="B230" s="81"/>
    </row>
    <row r="231" spans="2:2" ht="24.95" customHeight="1" x14ac:dyDescent="0.25">
      <c r="B231" s="81"/>
    </row>
    <row r="232" spans="2:2" ht="24.95" customHeight="1" x14ac:dyDescent="0.25">
      <c r="B232" s="81"/>
    </row>
    <row r="233" spans="2:2" ht="24.95" customHeight="1" x14ac:dyDescent="0.25">
      <c r="B233" s="81"/>
    </row>
    <row r="234" spans="2:2" ht="24.95" customHeight="1" x14ac:dyDescent="0.25">
      <c r="B234" s="81"/>
    </row>
    <row r="235" spans="2:2" ht="24.95" customHeight="1" x14ac:dyDescent="0.25">
      <c r="B235" s="81"/>
    </row>
    <row r="236" spans="2:2" ht="24.95" customHeight="1" x14ac:dyDescent="0.25">
      <c r="B236" s="81"/>
    </row>
    <row r="237" spans="2:2" ht="24.95" customHeight="1" x14ac:dyDescent="0.25">
      <c r="B237" s="81"/>
    </row>
    <row r="238" spans="2:2" ht="24.95" customHeight="1" x14ac:dyDescent="0.25">
      <c r="B238" s="81"/>
    </row>
    <row r="239" spans="2:2" ht="24.95" customHeight="1" x14ac:dyDescent="0.25">
      <c r="B239" s="81"/>
    </row>
    <row r="240" spans="2:2" ht="24.95" customHeight="1" x14ac:dyDescent="0.25">
      <c r="B240" s="81"/>
    </row>
    <row r="241" spans="2:2" ht="24.95" customHeight="1" x14ac:dyDescent="0.25">
      <c r="B241" s="81"/>
    </row>
    <row r="242" spans="2:2" ht="24.95" customHeight="1" x14ac:dyDescent="0.25">
      <c r="B242" s="81"/>
    </row>
    <row r="243" spans="2:2" ht="24.95" customHeight="1" x14ac:dyDescent="0.25">
      <c r="B243" s="81"/>
    </row>
    <row r="244" spans="2:2" ht="24.95" customHeight="1" x14ac:dyDescent="0.25">
      <c r="B244" s="81"/>
    </row>
    <row r="245" spans="2:2" ht="24.95" customHeight="1" x14ac:dyDescent="0.25">
      <c r="B245" s="81"/>
    </row>
    <row r="246" spans="2:2" ht="24.95" customHeight="1" x14ac:dyDescent="0.25">
      <c r="B246" s="81"/>
    </row>
    <row r="247" spans="2:2" ht="24.95" customHeight="1" x14ac:dyDescent="0.25">
      <c r="B247" s="81"/>
    </row>
    <row r="248" spans="2:2" ht="24.95" customHeight="1" x14ac:dyDescent="0.25">
      <c r="B248" s="81"/>
    </row>
    <row r="249" spans="2:2" ht="24.95" customHeight="1" x14ac:dyDescent="0.25">
      <c r="B249" s="81"/>
    </row>
    <row r="250" spans="2:2" ht="24.95" customHeight="1" x14ac:dyDescent="0.25">
      <c r="B250" s="81"/>
    </row>
    <row r="251" spans="2:2" ht="24.95" customHeight="1" x14ac:dyDescent="0.25">
      <c r="B251" s="81"/>
    </row>
    <row r="252" spans="2:2" ht="24.95" customHeight="1" x14ac:dyDescent="0.25">
      <c r="B252" s="81"/>
    </row>
    <row r="253" spans="2:2" ht="24.95" customHeight="1" x14ac:dyDescent="0.25">
      <c r="B253" s="81"/>
    </row>
    <row r="254" spans="2:2" ht="24.95" customHeight="1" x14ac:dyDescent="0.25">
      <c r="B254" s="81"/>
    </row>
    <row r="255" spans="2:2" ht="24.95" customHeight="1" x14ac:dyDescent="0.25">
      <c r="B255" s="81"/>
    </row>
    <row r="256" spans="2:2" ht="24.95" customHeight="1" x14ac:dyDescent="0.25">
      <c r="B256" s="81"/>
    </row>
    <row r="257" spans="2:2" ht="24.95" customHeight="1" x14ac:dyDescent="0.25">
      <c r="B257" s="81"/>
    </row>
    <row r="258" spans="2:2" ht="24.95" customHeight="1" x14ac:dyDescent="0.25">
      <c r="B258" s="81"/>
    </row>
    <row r="259" spans="2:2" ht="24.95" customHeight="1" x14ac:dyDescent="0.25">
      <c r="B259" s="81"/>
    </row>
    <row r="260" spans="2:2" ht="24.95" customHeight="1" x14ac:dyDescent="0.25">
      <c r="B260" s="81"/>
    </row>
    <row r="261" spans="2:2" ht="24.95" customHeight="1" x14ac:dyDescent="0.25">
      <c r="B261" s="81"/>
    </row>
    <row r="262" spans="2:2" ht="24.95" customHeight="1" x14ac:dyDescent="0.25">
      <c r="B262" s="81"/>
    </row>
    <row r="263" spans="2:2" ht="24.95" customHeight="1" x14ac:dyDescent="0.25">
      <c r="B263" s="81"/>
    </row>
    <row r="264" spans="2:2" ht="24.95" customHeight="1" x14ac:dyDescent="0.25">
      <c r="B264" s="81"/>
    </row>
    <row r="265" spans="2:2" ht="24.95" customHeight="1" x14ac:dyDescent="0.25">
      <c r="B265" s="81"/>
    </row>
    <row r="266" spans="2:2" ht="24.95" customHeight="1" x14ac:dyDescent="0.25">
      <c r="B266" s="81"/>
    </row>
    <row r="267" spans="2:2" ht="24.95" customHeight="1" x14ac:dyDescent="0.25">
      <c r="B267" s="81"/>
    </row>
    <row r="268" spans="2:2" ht="24.95" customHeight="1" x14ac:dyDescent="0.25">
      <c r="B268" s="81"/>
    </row>
    <row r="269" spans="2:2" ht="24.95" customHeight="1" x14ac:dyDescent="0.25">
      <c r="B269" s="81"/>
    </row>
    <row r="270" spans="2:2" ht="24.95" customHeight="1" x14ac:dyDescent="0.25">
      <c r="B270" s="81"/>
    </row>
    <row r="271" spans="2:2" ht="24.95" customHeight="1" x14ac:dyDescent="0.25">
      <c r="B271" s="81"/>
    </row>
    <row r="272" spans="2:2" ht="24.95" customHeight="1" x14ac:dyDescent="0.25">
      <c r="B272" s="81"/>
    </row>
    <row r="273" spans="2:2" ht="24.95" customHeight="1" x14ac:dyDescent="0.25">
      <c r="B273" s="81"/>
    </row>
    <row r="274" spans="2:2" ht="24.95" customHeight="1" x14ac:dyDescent="0.25">
      <c r="B274" s="81"/>
    </row>
    <row r="275" spans="2:2" ht="24.95" customHeight="1" x14ac:dyDescent="0.25">
      <c r="B275" s="81"/>
    </row>
    <row r="276" spans="2:2" ht="24.95" customHeight="1" x14ac:dyDescent="0.25">
      <c r="B276" s="81"/>
    </row>
    <row r="277" spans="2:2" ht="24.95" customHeight="1" x14ac:dyDescent="0.25">
      <c r="B277" s="81"/>
    </row>
    <row r="278" spans="2:2" ht="24.95" customHeight="1" x14ac:dyDescent="0.25">
      <c r="B278" s="81"/>
    </row>
    <row r="279" spans="2:2" ht="24.95" customHeight="1" x14ac:dyDescent="0.25">
      <c r="B279" s="81"/>
    </row>
    <row r="280" spans="2:2" ht="24.95" customHeight="1" x14ac:dyDescent="0.25">
      <c r="B280" s="81"/>
    </row>
    <row r="281" spans="2:2" ht="24.95" customHeight="1" x14ac:dyDescent="0.25">
      <c r="B281" s="81"/>
    </row>
    <row r="282" spans="2:2" ht="24.95" customHeight="1" x14ac:dyDescent="0.25">
      <c r="B282" s="81"/>
    </row>
    <row r="283" spans="2:2" ht="24.95" customHeight="1" x14ac:dyDescent="0.25">
      <c r="B283" s="81"/>
    </row>
    <row r="284" spans="2:2" ht="24.95" customHeight="1" x14ac:dyDescent="0.25">
      <c r="B284" s="81"/>
    </row>
    <row r="285" spans="2:2" ht="24.95" customHeight="1" x14ac:dyDescent="0.25">
      <c r="B285" s="81"/>
    </row>
    <row r="286" spans="2:2" ht="24.95" customHeight="1" x14ac:dyDescent="0.25">
      <c r="B286" s="81"/>
    </row>
    <row r="287" spans="2:2" ht="24.95" customHeight="1" x14ac:dyDescent="0.25">
      <c r="B287" s="81"/>
    </row>
    <row r="288" spans="2:2" ht="24.95" customHeight="1" x14ac:dyDescent="0.25">
      <c r="B288" s="81"/>
    </row>
    <row r="289" spans="2:2" ht="24.95" customHeight="1" x14ac:dyDescent="0.25">
      <c r="B289" s="81"/>
    </row>
    <row r="290" spans="2:2" ht="24.95" customHeight="1" x14ac:dyDescent="0.25">
      <c r="B290" s="81"/>
    </row>
    <row r="291" spans="2:2" ht="24.95" customHeight="1" x14ac:dyDescent="0.25">
      <c r="B291" s="81"/>
    </row>
    <row r="292" spans="2:2" ht="24.95" customHeight="1" x14ac:dyDescent="0.25">
      <c r="B292" s="81"/>
    </row>
    <row r="293" spans="2:2" ht="24.95" customHeight="1" x14ac:dyDescent="0.25">
      <c r="B293" s="81"/>
    </row>
    <row r="294" spans="2:2" ht="24.95" customHeight="1" x14ac:dyDescent="0.25">
      <c r="B294" s="81"/>
    </row>
    <row r="295" spans="2:2" ht="24.95" customHeight="1" x14ac:dyDescent="0.25">
      <c r="B295" s="81"/>
    </row>
    <row r="296" spans="2:2" ht="24.95" customHeight="1" x14ac:dyDescent="0.25">
      <c r="B296" s="81"/>
    </row>
    <row r="297" spans="2:2" ht="24.95" customHeight="1" x14ac:dyDescent="0.25">
      <c r="B297" s="81"/>
    </row>
    <row r="298" spans="2:2" ht="24.95" customHeight="1" x14ac:dyDescent="0.25">
      <c r="B298" s="81"/>
    </row>
    <row r="299" spans="2:2" ht="24.95" customHeight="1" x14ac:dyDescent="0.25">
      <c r="B299" s="81"/>
    </row>
    <row r="300" spans="2:2" ht="24.95" customHeight="1" x14ac:dyDescent="0.25">
      <c r="B300" s="81"/>
    </row>
    <row r="301" spans="2:2" ht="24.95" customHeight="1" x14ac:dyDescent="0.25">
      <c r="B301" s="81"/>
    </row>
    <row r="302" spans="2:2" ht="24.95" customHeight="1" x14ac:dyDescent="0.25">
      <c r="B302" s="81"/>
    </row>
    <row r="303" spans="2:2" ht="24.95" customHeight="1" x14ac:dyDescent="0.25">
      <c r="B303" s="81"/>
    </row>
    <row r="304" spans="2:2" ht="24.95" customHeight="1" x14ac:dyDescent="0.25">
      <c r="B304" s="81"/>
    </row>
    <row r="305" spans="2:2" ht="24.95" customHeight="1" x14ac:dyDescent="0.25">
      <c r="B305" s="81"/>
    </row>
    <row r="306" spans="2:2" ht="24.95" customHeight="1" x14ac:dyDescent="0.25">
      <c r="B306" s="81"/>
    </row>
    <row r="307" spans="2:2" ht="24.95" customHeight="1" x14ac:dyDescent="0.25">
      <c r="B307" s="81"/>
    </row>
    <row r="308" spans="2:2" ht="24.95" customHeight="1" x14ac:dyDescent="0.25">
      <c r="B308" s="81"/>
    </row>
    <row r="309" spans="2:2" ht="24.95" customHeight="1" x14ac:dyDescent="0.25">
      <c r="B309" s="81"/>
    </row>
    <row r="310" spans="2:2" ht="24.95" customHeight="1" x14ac:dyDescent="0.25">
      <c r="B310" s="81"/>
    </row>
  </sheetData>
  <protectedRanges>
    <protectedRange sqref="B1:B1048576" name="bismillah"/>
  </protectedRanges>
  <autoFilter ref="C6:K6" xr:uid="{00000000-0009-0000-0000-000001000000}"/>
  <conditionalFormatting sqref="B14:K1048576 E9:E10 F7:K13 B7:D13">
    <cfRule type="expression" dxfId="38" priority="40">
      <formula>MOD(ROW(),2)=0</formula>
    </cfRule>
    <cfRule type="expression" dxfId="37" priority="41">
      <formula>MOD(ROW(),2)=1</formula>
    </cfRule>
  </conditionalFormatting>
  <conditionalFormatting sqref="E8">
    <cfRule type="expression" dxfId="36" priority="27">
      <formula>MOD(ROW(),2)=0</formula>
    </cfRule>
    <cfRule type="expression" dxfId="35" priority="28">
      <formula>MOD(ROW(),2)=1</formula>
    </cfRule>
  </conditionalFormatting>
  <conditionalFormatting sqref="E7">
    <cfRule type="expression" dxfId="34" priority="18">
      <formula>MOD(ROW(),2)=0</formula>
    </cfRule>
    <cfRule type="expression" dxfId="33" priority="19">
      <formula>MOD(ROW(),2)=1</formula>
    </cfRule>
  </conditionalFormatting>
  <conditionalFormatting sqref="E7:E13">
    <cfRule type="expression" dxfId="32" priority="35">
      <formula>MOD(ROW(),2)=0</formula>
    </cfRule>
    <cfRule type="expression" dxfId="31" priority="36">
      <formula>MOD(ROW(),2)=1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13" r:id="rId4" name="closed">
          <controlPr defaultSize="0" autoLine="0" r:id="rId5">
            <anchor moveWithCells="1">
              <from>
                <xdr:col>10</xdr:col>
                <xdr:colOff>47625</xdr:colOff>
                <xdr:row>3</xdr:row>
                <xdr:rowOff>19050</xdr:rowOff>
              </from>
              <to>
                <xdr:col>10</xdr:col>
                <xdr:colOff>1219200</xdr:colOff>
                <xdr:row>4</xdr:row>
                <xdr:rowOff>28575</xdr:rowOff>
              </to>
            </anchor>
          </controlPr>
        </control>
      </mc:Choice>
      <mc:Fallback>
        <control shapeId="21513" r:id="rId4" name="closed"/>
      </mc:Fallback>
    </mc:AlternateContent>
    <mc:AlternateContent xmlns:mc="http://schemas.openxmlformats.org/markup-compatibility/2006">
      <mc:Choice Requires="x14">
        <control shapeId="21512" r:id="rId6" name="Save">
          <controlPr defaultSize="0" autoLine="0" r:id="rId7">
            <anchor moveWithCells="1">
              <from>
                <xdr:col>8</xdr:col>
                <xdr:colOff>1695450</xdr:colOff>
                <xdr:row>3</xdr:row>
                <xdr:rowOff>19050</xdr:rowOff>
              </from>
              <to>
                <xdr:col>9</xdr:col>
                <xdr:colOff>1114425</xdr:colOff>
                <xdr:row>4</xdr:row>
                <xdr:rowOff>38100</xdr:rowOff>
              </to>
            </anchor>
          </controlPr>
        </control>
      </mc:Choice>
      <mc:Fallback>
        <control shapeId="21512" r:id="rId6" name="Save"/>
      </mc:Fallback>
    </mc:AlternateContent>
    <mc:AlternateContent xmlns:mc="http://schemas.openxmlformats.org/markup-compatibility/2006">
      <mc:Choice Requires="x14">
        <control shapeId="21507" r:id="rId8" name="CommandButton2">
          <controlPr defaultSize="0" autoLine="0" r:id="rId9">
            <anchor moveWithCells="1">
              <from>
                <xdr:col>5</xdr:col>
                <xdr:colOff>476250</xdr:colOff>
                <xdr:row>2</xdr:row>
                <xdr:rowOff>304800</xdr:rowOff>
              </from>
              <to>
                <xdr:col>5</xdr:col>
                <xdr:colOff>1638300</xdr:colOff>
                <xdr:row>4</xdr:row>
                <xdr:rowOff>19050</xdr:rowOff>
              </to>
            </anchor>
          </controlPr>
        </control>
      </mc:Choice>
      <mc:Fallback>
        <control shapeId="21507" r:id="rId8" name="CommandButton2"/>
      </mc:Fallback>
    </mc:AlternateContent>
    <mc:AlternateContent xmlns:mc="http://schemas.openxmlformats.org/markup-compatibility/2006">
      <mc:Choice Requires="x14">
        <control shapeId="21506" r:id="rId10" name="CommandButton1">
          <controlPr defaultSize="0" autoLine="0" r:id="rId11">
            <anchor moveWithCells="1">
              <from>
                <xdr:col>8</xdr:col>
                <xdr:colOff>409575</xdr:colOff>
                <xdr:row>3</xdr:row>
                <xdr:rowOff>19050</xdr:rowOff>
              </from>
              <to>
                <xdr:col>8</xdr:col>
                <xdr:colOff>1533525</xdr:colOff>
                <xdr:row>4</xdr:row>
                <xdr:rowOff>47625</xdr:rowOff>
              </to>
            </anchor>
          </controlPr>
        </control>
      </mc:Choice>
      <mc:Fallback>
        <control shapeId="21506" r:id="rId10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11EDE-F381-4390-BC8E-6E561FC7F7AA}">
  <sheetPr codeName="Lembar10"/>
  <dimension ref="A1:AJ310"/>
  <sheetViews>
    <sheetView zoomScaleNormal="100" workbookViewId="0">
      <selection activeCell="F21" sqref="F21"/>
    </sheetView>
  </sheetViews>
  <sheetFormatPr defaultRowHeight="24.95" customHeight="1" x14ac:dyDescent="0.25"/>
  <cols>
    <col min="1" max="1" width="12.42578125" style="1" customWidth="1"/>
    <col min="2" max="2" width="9" style="80" customWidth="1"/>
    <col min="3" max="3" width="24.28515625" style="11" customWidth="1"/>
    <col min="4" max="4" width="12.42578125" style="11" customWidth="1"/>
    <col min="5" max="5" width="26.140625" style="62" customWidth="1"/>
    <col min="6" max="6" width="36" style="11" customWidth="1"/>
    <col min="7" max="7" width="26.28515625" style="11" customWidth="1"/>
    <col min="8" max="8" width="32.85546875" style="11" customWidth="1"/>
    <col min="9" max="9" width="26.140625" style="11" customWidth="1"/>
    <col min="10" max="10" width="18" style="11" customWidth="1"/>
    <col min="11" max="11" width="19.28515625" style="11" customWidth="1"/>
    <col min="12" max="12" width="9.42578125" style="17" hidden="1" customWidth="1"/>
    <col min="13" max="13" width="6.42578125" style="1" hidden="1" customWidth="1"/>
    <col min="14" max="14" width="5.7109375" style="1" hidden="1" customWidth="1"/>
    <col min="15" max="15" width="0" style="1" hidden="1" customWidth="1"/>
    <col min="16" max="16" width="9.42578125" style="1" hidden="1" customWidth="1"/>
    <col min="17" max="17" width="8.7109375" style="1" hidden="1" customWidth="1"/>
    <col min="18" max="18" width="19.5703125" style="1" hidden="1" customWidth="1"/>
    <col min="19" max="19" width="7.28515625" style="1" hidden="1" customWidth="1"/>
    <col min="20" max="20" width="6.85546875" style="1" hidden="1" customWidth="1"/>
    <col min="21" max="21" width="5" style="14" hidden="1" customWidth="1"/>
    <col min="22" max="22" width="7.42578125" style="14" hidden="1" customWidth="1"/>
    <col min="23" max="23" width="3" style="14" hidden="1" customWidth="1"/>
    <col min="24" max="24" width="7" style="14" hidden="1" customWidth="1"/>
    <col min="25" max="25" width="15.85546875" style="1" hidden="1" customWidth="1"/>
    <col min="26" max="26" width="16.85546875" style="1" customWidth="1"/>
    <col min="27" max="35" width="9.140625" style="1"/>
    <col min="36" max="36" width="18.140625" style="1" hidden="1" customWidth="1"/>
    <col min="37" max="16384" width="9.140625" style="1"/>
  </cols>
  <sheetData>
    <row r="1" spans="1:36" ht="24.95" customHeight="1" x14ac:dyDescent="0.25">
      <c r="F1" s="59"/>
      <c r="G1" s="56"/>
      <c r="H1" s="56"/>
      <c r="U1" s="1"/>
      <c r="AJ1" s="1" t="s">
        <v>569</v>
      </c>
    </row>
    <row r="2" spans="1:36" ht="24.95" customHeight="1" x14ac:dyDescent="0.25">
      <c r="A2" s="57"/>
      <c r="U2" s="1"/>
    </row>
    <row r="3" spans="1:36" ht="24.95" customHeight="1" x14ac:dyDescent="0.25">
      <c r="C3" s="60"/>
      <c r="E3" s="63"/>
      <c r="H3" s="59"/>
      <c r="U3" s="1"/>
      <c r="Y3" s="1" t="s">
        <v>659</v>
      </c>
    </row>
    <row r="4" spans="1:36" ht="30" customHeight="1" x14ac:dyDescent="0.25">
      <c r="C4" s="82"/>
      <c r="E4" s="83"/>
      <c r="H4" s="59"/>
      <c r="U4" s="1"/>
    </row>
    <row r="5" spans="1:36" ht="24.95" customHeight="1" x14ac:dyDescent="0.25">
      <c r="U5" s="1"/>
    </row>
    <row r="6" spans="1:36" ht="24.95" customHeight="1" x14ac:dyDescent="0.25">
      <c r="B6" s="15"/>
      <c r="C6" s="12" t="s">
        <v>379</v>
      </c>
      <c r="D6" s="12" t="s">
        <v>380</v>
      </c>
      <c r="E6" s="12" t="s">
        <v>643</v>
      </c>
      <c r="F6" s="12" t="s">
        <v>381</v>
      </c>
      <c r="G6" s="12" t="s">
        <v>382</v>
      </c>
      <c r="H6" s="12" t="s">
        <v>383</v>
      </c>
      <c r="I6" s="12" t="s">
        <v>435</v>
      </c>
      <c r="J6" s="12" t="s">
        <v>385</v>
      </c>
      <c r="K6" s="12" t="s">
        <v>384</v>
      </c>
      <c r="M6" s="1">
        <v>0</v>
      </c>
      <c r="O6" s="2"/>
      <c r="U6" s="1"/>
    </row>
    <row r="7" spans="1:36" ht="24.95" customHeight="1" x14ac:dyDescent="0.25">
      <c r="B7" s="81"/>
      <c r="D7" s="55"/>
      <c r="E7" s="58"/>
      <c r="G7" s="56"/>
      <c r="U7" s="1"/>
    </row>
    <row r="8" spans="1:36" ht="24.95" customHeight="1" x14ac:dyDescent="0.25">
      <c r="B8" s="81"/>
      <c r="E8" s="58"/>
      <c r="G8" s="56"/>
    </row>
    <row r="9" spans="1:36" ht="24.95" customHeight="1" x14ac:dyDescent="0.25">
      <c r="B9" s="81"/>
      <c r="E9" s="58"/>
      <c r="G9" s="56"/>
    </row>
    <row r="10" spans="1:36" ht="24.95" customHeight="1" x14ac:dyDescent="0.25">
      <c r="B10" s="81"/>
      <c r="E10" s="58"/>
      <c r="G10" s="56"/>
    </row>
    <row r="11" spans="1:36" ht="24.95" customHeight="1" x14ac:dyDescent="0.25">
      <c r="B11" s="81"/>
      <c r="E11" s="58"/>
      <c r="G11" s="56"/>
    </row>
    <row r="12" spans="1:36" ht="24.95" customHeight="1" x14ac:dyDescent="0.25">
      <c r="B12" s="81"/>
      <c r="E12" s="58"/>
      <c r="G12" s="56"/>
    </row>
    <row r="13" spans="1:36" ht="24.95" customHeight="1" x14ac:dyDescent="0.25">
      <c r="B13" s="81"/>
      <c r="E13" s="58"/>
      <c r="G13" s="56"/>
    </row>
    <row r="14" spans="1:36" ht="24.95" customHeight="1" x14ac:dyDescent="0.25">
      <c r="B14" s="81"/>
      <c r="G14" s="56"/>
    </row>
    <row r="15" spans="1:36" ht="24.95" customHeight="1" x14ac:dyDescent="0.25">
      <c r="B15" s="81"/>
      <c r="G15" s="56"/>
    </row>
    <row r="16" spans="1:36" ht="24.95" customHeight="1" x14ac:dyDescent="0.25">
      <c r="B16" s="81"/>
      <c r="G16" s="56"/>
    </row>
    <row r="17" spans="2:7" ht="24.95" customHeight="1" x14ac:dyDescent="0.25">
      <c r="B17" s="81"/>
      <c r="G17" s="56"/>
    </row>
    <row r="18" spans="2:7" ht="24.95" customHeight="1" x14ac:dyDescent="0.25">
      <c r="B18" s="81"/>
      <c r="G18" s="56"/>
    </row>
    <row r="19" spans="2:7" ht="24.95" customHeight="1" x14ac:dyDescent="0.25">
      <c r="B19" s="81"/>
      <c r="G19" s="56"/>
    </row>
    <row r="20" spans="2:7" ht="24.95" customHeight="1" x14ac:dyDescent="0.25">
      <c r="B20" s="81"/>
      <c r="G20" s="56"/>
    </row>
    <row r="21" spans="2:7" ht="24.95" customHeight="1" x14ac:dyDescent="0.25">
      <c r="B21" s="81"/>
      <c r="G21" s="56"/>
    </row>
    <row r="22" spans="2:7" ht="24.95" customHeight="1" x14ac:dyDescent="0.25">
      <c r="B22" s="81"/>
      <c r="G22" s="56"/>
    </row>
    <row r="23" spans="2:7" ht="24.95" customHeight="1" x14ac:dyDescent="0.25">
      <c r="B23" s="81"/>
      <c r="G23" s="56"/>
    </row>
    <row r="24" spans="2:7" ht="24.95" customHeight="1" x14ac:dyDescent="0.25">
      <c r="B24" s="81"/>
      <c r="G24" s="56"/>
    </row>
    <row r="25" spans="2:7" ht="24.95" customHeight="1" x14ac:dyDescent="0.25">
      <c r="B25" s="81"/>
      <c r="G25" s="56"/>
    </row>
    <row r="26" spans="2:7" ht="24.95" customHeight="1" x14ac:dyDescent="0.25">
      <c r="B26" s="81"/>
      <c r="G26" s="56"/>
    </row>
    <row r="27" spans="2:7" ht="24.95" customHeight="1" x14ac:dyDescent="0.25">
      <c r="B27" s="81"/>
      <c r="G27" s="56"/>
    </row>
    <row r="28" spans="2:7" ht="24.95" customHeight="1" x14ac:dyDescent="0.25">
      <c r="B28" s="81"/>
    </row>
    <row r="29" spans="2:7" ht="24.95" customHeight="1" x14ac:dyDescent="0.25">
      <c r="B29" s="81"/>
    </row>
    <row r="30" spans="2:7" ht="24.95" customHeight="1" x14ac:dyDescent="0.25">
      <c r="B30" s="81"/>
    </row>
    <row r="31" spans="2:7" ht="24.95" customHeight="1" x14ac:dyDescent="0.25">
      <c r="B31" s="81"/>
    </row>
    <row r="32" spans="2:7" ht="24.95" customHeight="1" x14ac:dyDescent="0.25">
      <c r="B32" s="81"/>
    </row>
    <row r="33" spans="2:2" ht="24.95" customHeight="1" x14ac:dyDescent="0.25">
      <c r="B33" s="81"/>
    </row>
    <row r="34" spans="2:2" ht="24.95" customHeight="1" x14ac:dyDescent="0.25">
      <c r="B34" s="81"/>
    </row>
    <row r="35" spans="2:2" ht="24.95" customHeight="1" x14ac:dyDescent="0.25">
      <c r="B35" s="81"/>
    </row>
    <row r="36" spans="2:2" ht="24.95" customHeight="1" x14ac:dyDescent="0.25">
      <c r="B36" s="81"/>
    </row>
    <row r="37" spans="2:2" ht="24.95" customHeight="1" x14ac:dyDescent="0.25">
      <c r="B37" s="81"/>
    </row>
    <row r="38" spans="2:2" ht="24.95" customHeight="1" x14ac:dyDescent="0.25">
      <c r="B38" s="81"/>
    </row>
    <row r="39" spans="2:2" ht="24.95" customHeight="1" x14ac:dyDescent="0.25">
      <c r="B39" s="81"/>
    </row>
    <row r="40" spans="2:2" ht="24.95" customHeight="1" x14ac:dyDescent="0.25">
      <c r="B40" s="81"/>
    </row>
    <row r="41" spans="2:2" ht="24.95" customHeight="1" x14ac:dyDescent="0.25">
      <c r="B41" s="81"/>
    </row>
    <row r="42" spans="2:2" ht="24.95" customHeight="1" x14ac:dyDescent="0.25">
      <c r="B42" s="81"/>
    </row>
    <row r="43" spans="2:2" ht="24.95" customHeight="1" x14ac:dyDescent="0.25">
      <c r="B43" s="81"/>
    </row>
    <row r="44" spans="2:2" ht="24.95" customHeight="1" x14ac:dyDescent="0.25">
      <c r="B44" s="81"/>
    </row>
    <row r="45" spans="2:2" ht="24.95" customHeight="1" x14ac:dyDescent="0.25">
      <c r="B45" s="81"/>
    </row>
    <row r="46" spans="2:2" ht="24.95" customHeight="1" x14ac:dyDescent="0.25">
      <c r="B46" s="81"/>
    </row>
    <row r="47" spans="2:2" ht="24.95" customHeight="1" x14ac:dyDescent="0.25">
      <c r="B47" s="81"/>
    </row>
    <row r="48" spans="2:2" ht="24.95" customHeight="1" x14ac:dyDescent="0.25">
      <c r="B48" s="81"/>
    </row>
    <row r="49" spans="2:2" ht="24.95" customHeight="1" x14ac:dyDescent="0.25">
      <c r="B49" s="81"/>
    </row>
    <row r="50" spans="2:2" ht="24.95" customHeight="1" x14ac:dyDescent="0.25">
      <c r="B50" s="81"/>
    </row>
    <row r="51" spans="2:2" ht="24.95" customHeight="1" x14ac:dyDescent="0.25">
      <c r="B51" s="81"/>
    </row>
    <row r="52" spans="2:2" ht="24.95" customHeight="1" x14ac:dyDescent="0.25">
      <c r="B52" s="81"/>
    </row>
    <row r="53" spans="2:2" ht="24.95" customHeight="1" x14ac:dyDescent="0.25">
      <c r="B53" s="81"/>
    </row>
    <row r="54" spans="2:2" ht="24.95" customHeight="1" x14ac:dyDescent="0.25">
      <c r="B54" s="81"/>
    </row>
    <row r="55" spans="2:2" ht="24.95" customHeight="1" x14ac:dyDescent="0.25">
      <c r="B55" s="81"/>
    </row>
    <row r="56" spans="2:2" ht="24.95" customHeight="1" x14ac:dyDescent="0.25">
      <c r="B56" s="81"/>
    </row>
    <row r="57" spans="2:2" ht="24.95" customHeight="1" x14ac:dyDescent="0.25">
      <c r="B57" s="81"/>
    </row>
    <row r="58" spans="2:2" ht="24.95" customHeight="1" x14ac:dyDescent="0.25">
      <c r="B58" s="81"/>
    </row>
    <row r="59" spans="2:2" ht="24.95" customHeight="1" x14ac:dyDescent="0.25">
      <c r="B59" s="81"/>
    </row>
    <row r="60" spans="2:2" ht="24.95" customHeight="1" x14ac:dyDescent="0.25">
      <c r="B60" s="81"/>
    </row>
    <row r="61" spans="2:2" ht="24.95" customHeight="1" x14ac:dyDescent="0.25">
      <c r="B61" s="81"/>
    </row>
    <row r="62" spans="2:2" ht="24.95" customHeight="1" x14ac:dyDescent="0.25">
      <c r="B62" s="81"/>
    </row>
    <row r="63" spans="2:2" ht="24.95" customHeight="1" x14ac:dyDescent="0.25">
      <c r="B63" s="81"/>
    </row>
    <row r="64" spans="2:2" ht="24.95" customHeight="1" x14ac:dyDescent="0.25">
      <c r="B64" s="81"/>
    </row>
    <row r="65" spans="2:2" ht="24.95" customHeight="1" x14ac:dyDescent="0.25">
      <c r="B65" s="81"/>
    </row>
    <row r="66" spans="2:2" ht="24.95" customHeight="1" x14ac:dyDescent="0.25">
      <c r="B66" s="81"/>
    </row>
    <row r="67" spans="2:2" ht="24.95" customHeight="1" x14ac:dyDescent="0.25">
      <c r="B67" s="81"/>
    </row>
    <row r="68" spans="2:2" ht="24.95" customHeight="1" x14ac:dyDescent="0.25">
      <c r="B68" s="81"/>
    </row>
    <row r="69" spans="2:2" ht="24.95" customHeight="1" x14ac:dyDescent="0.25">
      <c r="B69" s="81"/>
    </row>
    <row r="70" spans="2:2" ht="24.95" customHeight="1" x14ac:dyDescent="0.25">
      <c r="B70" s="81"/>
    </row>
    <row r="71" spans="2:2" ht="24.95" customHeight="1" x14ac:dyDescent="0.25">
      <c r="B71" s="81"/>
    </row>
    <row r="72" spans="2:2" ht="24.95" customHeight="1" x14ac:dyDescent="0.25">
      <c r="B72" s="81"/>
    </row>
    <row r="73" spans="2:2" ht="24.95" customHeight="1" x14ac:dyDescent="0.25">
      <c r="B73" s="81"/>
    </row>
    <row r="74" spans="2:2" ht="24.95" customHeight="1" x14ac:dyDescent="0.25">
      <c r="B74" s="81"/>
    </row>
    <row r="75" spans="2:2" ht="24.95" customHeight="1" x14ac:dyDescent="0.25">
      <c r="B75" s="81"/>
    </row>
    <row r="76" spans="2:2" ht="24.95" customHeight="1" x14ac:dyDescent="0.25">
      <c r="B76" s="81"/>
    </row>
    <row r="77" spans="2:2" ht="24.95" customHeight="1" x14ac:dyDescent="0.25">
      <c r="B77" s="81"/>
    </row>
    <row r="78" spans="2:2" ht="24.95" customHeight="1" x14ac:dyDescent="0.25">
      <c r="B78" s="81"/>
    </row>
    <row r="79" spans="2:2" ht="24.95" customHeight="1" x14ac:dyDescent="0.25">
      <c r="B79" s="81"/>
    </row>
    <row r="80" spans="2:2" ht="24.95" customHeight="1" x14ac:dyDescent="0.25">
      <c r="B80" s="81"/>
    </row>
    <row r="81" spans="2:2" ht="24.95" customHeight="1" x14ac:dyDescent="0.25">
      <c r="B81" s="81"/>
    </row>
    <row r="82" spans="2:2" ht="24.95" customHeight="1" x14ac:dyDescent="0.25">
      <c r="B82" s="81"/>
    </row>
    <row r="83" spans="2:2" ht="24.95" customHeight="1" x14ac:dyDescent="0.25">
      <c r="B83" s="81"/>
    </row>
    <row r="84" spans="2:2" ht="24.95" customHeight="1" x14ac:dyDescent="0.25">
      <c r="B84" s="81"/>
    </row>
    <row r="85" spans="2:2" ht="24.95" customHeight="1" x14ac:dyDescent="0.25">
      <c r="B85" s="81"/>
    </row>
    <row r="86" spans="2:2" ht="24.95" customHeight="1" x14ac:dyDescent="0.25">
      <c r="B86" s="81"/>
    </row>
    <row r="87" spans="2:2" ht="24.95" customHeight="1" x14ac:dyDescent="0.25">
      <c r="B87" s="81"/>
    </row>
    <row r="88" spans="2:2" ht="24.95" customHeight="1" x14ac:dyDescent="0.25">
      <c r="B88" s="81"/>
    </row>
    <row r="89" spans="2:2" ht="24.95" customHeight="1" x14ac:dyDescent="0.25">
      <c r="B89" s="81"/>
    </row>
    <row r="90" spans="2:2" ht="24.95" customHeight="1" x14ac:dyDescent="0.25">
      <c r="B90" s="81"/>
    </row>
    <row r="91" spans="2:2" ht="24.95" customHeight="1" x14ac:dyDescent="0.25">
      <c r="B91" s="81"/>
    </row>
    <row r="92" spans="2:2" ht="24.95" customHeight="1" x14ac:dyDescent="0.25">
      <c r="B92" s="81"/>
    </row>
    <row r="93" spans="2:2" ht="24.95" customHeight="1" x14ac:dyDescent="0.25">
      <c r="B93" s="81"/>
    </row>
    <row r="94" spans="2:2" ht="24.95" customHeight="1" x14ac:dyDescent="0.25">
      <c r="B94" s="81"/>
    </row>
    <row r="95" spans="2:2" ht="24.95" customHeight="1" x14ac:dyDescent="0.25">
      <c r="B95" s="81"/>
    </row>
    <row r="96" spans="2:2" ht="24.95" customHeight="1" x14ac:dyDescent="0.25">
      <c r="B96" s="81"/>
    </row>
    <row r="97" spans="2:2" ht="24.95" customHeight="1" x14ac:dyDescent="0.25">
      <c r="B97" s="81"/>
    </row>
    <row r="98" spans="2:2" ht="24.95" customHeight="1" x14ac:dyDescent="0.25">
      <c r="B98" s="81"/>
    </row>
    <row r="99" spans="2:2" ht="24.95" customHeight="1" x14ac:dyDescent="0.25">
      <c r="B99" s="81"/>
    </row>
    <row r="100" spans="2:2" ht="24.95" customHeight="1" x14ac:dyDescent="0.25">
      <c r="B100" s="81"/>
    </row>
    <row r="101" spans="2:2" ht="24.95" customHeight="1" x14ac:dyDescent="0.25">
      <c r="B101" s="81"/>
    </row>
    <row r="102" spans="2:2" ht="24.95" customHeight="1" x14ac:dyDescent="0.25">
      <c r="B102" s="81"/>
    </row>
    <row r="103" spans="2:2" ht="24.95" customHeight="1" x14ac:dyDescent="0.25">
      <c r="B103" s="81"/>
    </row>
    <row r="104" spans="2:2" ht="24.95" customHeight="1" x14ac:dyDescent="0.25">
      <c r="B104" s="81"/>
    </row>
    <row r="105" spans="2:2" ht="24.95" customHeight="1" x14ac:dyDescent="0.25">
      <c r="B105" s="81"/>
    </row>
    <row r="106" spans="2:2" ht="24.95" customHeight="1" x14ac:dyDescent="0.25">
      <c r="B106" s="81"/>
    </row>
    <row r="107" spans="2:2" ht="24.95" customHeight="1" x14ac:dyDescent="0.25">
      <c r="B107" s="81"/>
    </row>
    <row r="108" spans="2:2" ht="24.95" customHeight="1" x14ac:dyDescent="0.25">
      <c r="B108" s="81"/>
    </row>
    <row r="109" spans="2:2" ht="24.95" customHeight="1" x14ac:dyDescent="0.25">
      <c r="B109" s="81"/>
    </row>
    <row r="110" spans="2:2" ht="24.95" customHeight="1" x14ac:dyDescent="0.25">
      <c r="B110" s="81"/>
    </row>
    <row r="111" spans="2:2" ht="24.95" customHeight="1" x14ac:dyDescent="0.25">
      <c r="B111" s="81"/>
    </row>
    <row r="112" spans="2:2" ht="24.95" customHeight="1" x14ac:dyDescent="0.25">
      <c r="B112" s="81"/>
    </row>
    <row r="113" spans="2:2" ht="24.95" customHeight="1" x14ac:dyDescent="0.25">
      <c r="B113" s="81"/>
    </row>
    <row r="114" spans="2:2" ht="24.95" customHeight="1" x14ac:dyDescent="0.25">
      <c r="B114" s="81"/>
    </row>
    <row r="115" spans="2:2" ht="24.95" customHeight="1" x14ac:dyDescent="0.25">
      <c r="B115" s="81"/>
    </row>
    <row r="116" spans="2:2" ht="24.95" customHeight="1" x14ac:dyDescent="0.25">
      <c r="B116" s="81"/>
    </row>
    <row r="117" spans="2:2" ht="24.95" customHeight="1" x14ac:dyDescent="0.25">
      <c r="B117" s="81"/>
    </row>
    <row r="118" spans="2:2" ht="24.95" customHeight="1" x14ac:dyDescent="0.25">
      <c r="B118" s="81"/>
    </row>
    <row r="119" spans="2:2" ht="24.95" customHeight="1" x14ac:dyDescent="0.25">
      <c r="B119" s="81"/>
    </row>
    <row r="120" spans="2:2" ht="24.95" customHeight="1" x14ac:dyDescent="0.25">
      <c r="B120" s="81"/>
    </row>
    <row r="121" spans="2:2" ht="24.95" customHeight="1" x14ac:dyDescent="0.25">
      <c r="B121" s="81"/>
    </row>
    <row r="122" spans="2:2" ht="24.95" customHeight="1" x14ac:dyDescent="0.25">
      <c r="B122" s="81"/>
    </row>
    <row r="123" spans="2:2" ht="24.95" customHeight="1" x14ac:dyDescent="0.25">
      <c r="B123" s="81"/>
    </row>
    <row r="124" spans="2:2" ht="24.95" customHeight="1" x14ac:dyDescent="0.25">
      <c r="B124" s="81"/>
    </row>
    <row r="125" spans="2:2" ht="24.95" customHeight="1" x14ac:dyDescent="0.25">
      <c r="B125" s="81"/>
    </row>
    <row r="126" spans="2:2" ht="24.95" customHeight="1" x14ac:dyDescent="0.25">
      <c r="B126" s="81"/>
    </row>
    <row r="127" spans="2:2" ht="24.95" customHeight="1" x14ac:dyDescent="0.25">
      <c r="B127" s="81"/>
    </row>
    <row r="128" spans="2:2" ht="24.95" customHeight="1" x14ac:dyDescent="0.25">
      <c r="B128" s="81"/>
    </row>
    <row r="129" spans="2:2" ht="24.95" customHeight="1" x14ac:dyDescent="0.25">
      <c r="B129" s="81"/>
    </row>
    <row r="130" spans="2:2" ht="24.95" customHeight="1" x14ac:dyDescent="0.25">
      <c r="B130" s="81"/>
    </row>
    <row r="131" spans="2:2" ht="24.95" customHeight="1" x14ac:dyDescent="0.25">
      <c r="B131" s="81"/>
    </row>
    <row r="132" spans="2:2" ht="24.95" customHeight="1" x14ac:dyDescent="0.25">
      <c r="B132" s="81"/>
    </row>
    <row r="133" spans="2:2" ht="24.95" customHeight="1" x14ac:dyDescent="0.25">
      <c r="B133" s="81"/>
    </row>
    <row r="134" spans="2:2" ht="24.95" customHeight="1" x14ac:dyDescent="0.25">
      <c r="B134" s="81"/>
    </row>
    <row r="135" spans="2:2" ht="24.95" customHeight="1" x14ac:dyDescent="0.25">
      <c r="B135" s="81"/>
    </row>
    <row r="136" spans="2:2" ht="24.95" customHeight="1" x14ac:dyDescent="0.25">
      <c r="B136" s="81"/>
    </row>
    <row r="137" spans="2:2" ht="24.95" customHeight="1" x14ac:dyDescent="0.25">
      <c r="B137" s="81"/>
    </row>
    <row r="138" spans="2:2" ht="24.95" customHeight="1" x14ac:dyDescent="0.25">
      <c r="B138" s="81"/>
    </row>
    <row r="139" spans="2:2" ht="24.95" customHeight="1" x14ac:dyDescent="0.25">
      <c r="B139" s="81"/>
    </row>
    <row r="140" spans="2:2" ht="24.95" customHeight="1" x14ac:dyDescent="0.25">
      <c r="B140" s="81"/>
    </row>
    <row r="141" spans="2:2" ht="24.95" customHeight="1" x14ac:dyDescent="0.25">
      <c r="B141" s="81"/>
    </row>
    <row r="142" spans="2:2" ht="24.95" customHeight="1" x14ac:dyDescent="0.25">
      <c r="B142" s="81"/>
    </row>
    <row r="143" spans="2:2" ht="24.95" customHeight="1" x14ac:dyDescent="0.25">
      <c r="B143" s="81"/>
    </row>
    <row r="144" spans="2:2" ht="24.95" customHeight="1" x14ac:dyDescent="0.25">
      <c r="B144" s="81"/>
    </row>
    <row r="145" spans="2:2" ht="24.95" customHeight="1" x14ac:dyDescent="0.25">
      <c r="B145" s="81"/>
    </row>
    <row r="146" spans="2:2" ht="24.95" customHeight="1" x14ac:dyDescent="0.25">
      <c r="B146" s="81"/>
    </row>
    <row r="147" spans="2:2" ht="24.95" customHeight="1" x14ac:dyDescent="0.25">
      <c r="B147" s="81"/>
    </row>
    <row r="148" spans="2:2" ht="24.95" customHeight="1" x14ac:dyDescent="0.25">
      <c r="B148" s="81"/>
    </row>
    <row r="149" spans="2:2" ht="24.95" customHeight="1" x14ac:dyDescent="0.25">
      <c r="B149" s="81"/>
    </row>
    <row r="150" spans="2:2" ht="24.95" customHeight="1" x14ac:dyDescent="0.25">
      <c r="B150" s="81"/>
    </row>
    <row r="151" spans="2:2" ht="24.95" customHeight="1" x14ac:dyDescent="0.25">
      <c r="B151" s="81"/>
    </row>
    <row r="152" spans="2:2" ht="24.95" customHeight="1" x14ac:dyDescent="0.25">
      <c r="B152" s="81"/>
    </row>
    <row r="153" spans="2:2" ht="24.95" customHeight="1" x14ac:dyDescent="0.25">
      <c r="B153" s="81"/>
    </row>
    <row r="154" spans="2:2" ht="24.95" customHeight="1" x14ac:dyDescent="0.25">
      <c r="B154" s="81"/>
    </row>
    <row r="155" spans="2:2" ht="24.95" customHeight="1" x14ac:dyDescent="0.25">
      <c r="B155" s="81"/>
    </row>
    <row r="156" spans="2:2" ht="24.95" customHeight="1" x14ac:dyDescent="0.25">
      <c r="B156" s="81"/>
    </row>
    <row r="157" spans="2:2" ht="24.95" customHeight="1" x14ac:dyDescent="0.25">
      <c r="B157" s="81"/>
    </row>
    <row r="158" spans="2:2" ht="24.95" customHeight="1" x14ac:dyDescent="0.25">
      <c r="B158" s="81"/>
    </row>
    <row r="159" spans="2:2" ht="24.95" customHeight="1" x14ac:dyDescent="0.25">
      <c r="B159" s="81"/>
    </row>
    <row r="160" spans="2:2" ht="24.95" customHeight="1" x14ac:dyDescent="0.25">
      <c r="B160" s="81"/>
    </row>
    <row r="161" spans="2:2" ht="24.95" customHeight="1" x14ac:dyDescent="0.25">
      <c r="B161" s="81"/>
    </row>
    <row r="162" spans="2:2" ht="24.95" customHeight="1" x14ac:dyDescent="0.25">
      <c r="B162" s="81"/>
    </row>
    <row r="163" spans="2:2" ht="24.95" customHeight="1" x14ac:dyDescent="0.25">
      <c r="B163" s="81"/>
    </row>
    <row r="164" spans="2:2" ht="24.95" customHeight="1" x14ac:dyDescent="0.25">
      <c r="B164" s="81"/>
    </row>
    <row r="165" spans="2:2" ht="24.95" customHeight="1" x14ac:dyDescent="0.25">
      <c r="B165" s="81"/>
    </row>
    <row r="166" spans="2:2" ht="24.95" customHeight="1" x14ac:dyDescent="0.25">
      <c r="B166" s="81"/>
    </row>
    <row r="167" spans="2:2" ht="24.95" customHeight="1" x14ac:dyDescent="0.25">
      <c r="B167" s="81"/>
    </row>
    <row r="168" spans="2:2" ht="24.95" customHeight="1" x14ac:dyDescent="0.25">
      <c r="B168" s="81"/>
    </row>
    <row r="169" spans="2:2" ht="24.95" customHeight="1" x14ac:dyDescent="0.25">
      <c r="B169" s="81"/>
    </row>
    <row r="170" spans="2:2" ht="24.95" customHeight="1" x14ac:dyDescent="0.25">
      <c r="B170" s="81"/>
    </row>
    <row r="171" spans="2:2" ht="24.95" customHeight="1" x14ac:dyDescent="0.25">
      <c r="B171" s="81"/>
    </row>
    <row r="172" spans="2:2" ht="24.95" customHeight="1" x14ac:dyDescent="0.25">
      <c r="B172" s="81"/>
    </row>
    <row r="173" spans="2:2" ht="24.95" customHeight="1" x14ac:dyDescent="0.25">
      <c r="B173" s="81"/>
    </row>
    <row r="174" spans="2:2" ht="24.95" customHeight="1" x14ac:dyDescent="0.25">
      <c r="B174" s="81"/>
    </row>
    <row r="175" spans="2:2" ht="24.95" customHeight="1" x14ac:dyDescent="0.25">
      <c r="B175" s="81"/>
    </row>
    <row r="176" spans="2:2" ht="24.95" customHeight="1" x14ac:dyDescent="0.25">
      <c r="B176" s="81"/>
    </row>
    <row r="177" spans="2:2" ht="24.95" customHeight="1" x14ac:dyDescent="0.25">
      <c r="B177" s="81"/>
    </row>
    <row r="178" spans="2:2" ht="24.95" customHeight="1" x14ac:dyDescent="0.25">
      <c r="B178" s="81"/>
    </row>
    <row r="179" spans="2:2" ht="24.95" customHeight="1" x14ac:dyDescent="0.25">
      <c r="B179" s="81"/>
    </row>
    <row r="180" spans="2:2" ht="24.95" customHeight="1" x14ac:dyDescent="0.25">
      <c r="B180" s="81"/>
    </row>
    <row r="181" spans="2:2" ht="24.95" customHeight="1" x14ac:dyDescent="0.25">
      <c r="B181" s="81"/>
    </row>
    <row r="182" spans="2:2" ht="24.95" customHeight="1" x14ac:dyDescent="0.25">
      <c r="B182" s="81"/>
    </row>
    <row r="183" spans="2:2" ht="24.95" customHeight="1" x14ac:dyDescent="0.25">
      <c r="B183" s="81"/>
    </row>
    <row r="184" spans="2:2" ht="24.95" customHeight="1" x14ac:dyDescent="0.25">
      <c r="B184" s="81"/>
    </row>
    <row r="185" spans="2:2" ht="24.95" customHeight="1" x14ac:dyDescent="0.25">
      <c r="B185" s="81"/>
    </row>
    <row r="186" spans="2:2" ht="24.95" customHeight="1" x14ac:dyDescent="0.25">
      <c r="B186" s="81"/>
    </row>
    <row r="187" spans="2:2" ht="24.95" customHeight="1" x14ac:dyDescent="0.25">
      <c r="B187" s="81"/>
    </row>
    <row r="188" spans="2:2" ht="24.95" customHeight="1" x14ac:dyDescent="0.25">
      <c r="B188" s="81"/>
    </row>
    <row r="189" spans="2:2" ht="24.95" customHeight="1" x14ac:dyDescent="0.25">
      <c r="B189" s="81"/>
    </row>
    <row r="190" spans="2:2" ht="24.95" customHeight="1" x14ac:dyDescent="0.25">
      <c r="B190" s="81"/>
    </row>
    <row r="191" spans="2:2" ht="24.95" customHeight="1" x14ac:dyDescent="0.25">
      <c r="B191" s="81"/>
    </row>
    <row r="192" spans="2:2" ht="24.95" customHeight="1" x14ac:dyDescent="0.25">
      <c r="B192" s="81"/>
    </row>
    <row r="193" spans="2:2" ht="24.95" customHeight="1" x14ac:dyDescent="0.25">
      <c r="B193" s="81"/>
    </row>
    <row r="194" spans="2:2" ht="24.95" customHeight="1" x14ac:dyDescent="0.25">
      <c r="B194" s="81"/>
    </row>
    <row r="195" spans="2:2" ht="24.95" customHeight="1" x14ac:dyDescent="0.25">
      <c r="B195" s="81"/>
    </row>
    <row r="196" spans="2:2" ht="24.95" customHeight="1" x14ac:dyDescent="0.25">
      <c r="B196" s="81"/>
    </row>
    <row r="197" spans="2:2" ht="24.95" customHeight="1" x14ac:dyDescent="0.25">
      <c r="B197" s="81"/>
    </row>
    <row r="198" spans="2:2" ht="24.95" customHeight="1" x14ac:dyDescent="0.25">
      <c r="B198" s="81"/>
    </row>
    <row r="199" spans="2:2" ht="24.95" customHeight="1" x14ac:dyDescent="0.25">
      <c r="B199" s="81"/>
    </row>
    <row r="200" spans="2:2" ht="24.95" customHeight="1" x14ac:dyDescent="0.25">
      <c r="B200" s="81"/>
    </row>
    <row r="201" spans="2:2" ht="24.95" customHeight="1" x14ac:dyDescent="0.25">
      <c r="B201" s="81"/>
    </row>
    <row r="202" spans="2:2" ht="24.95" customHeight="1" x14ac:dyDescent="0.25">
      <c r="B202" s="81"/>
    </row>
    <row r="203" spans="2:2" ht="24.95" customHeight="1" x14ac:dyDescent="0.25">
      <c r="B203" s="81"/>
    </row>
    <row r="204" spans="2:2" ht="24.95" customHeight="1" x14ac:dyDescent="0.25">
      <c r="B204" s="81"/>
    </row>
    <row r="205" spans="2:2" ht="24.95" customHeight="1" x14ac:dyDescent="0.25">
      <c r="B205" s="81"/>
    </row>
    <row r="206" spans="2:2" ht="24.95" customHeight="1" x14ac:dyDescent="0.25">
      <c r="B206" s="81"/>
    </row>
    <row r="207" spans="2:2" ht="24.95" customHeight="1" x14ac:dyDescent="0.25">
      <c r="B207" s="81"/>
    </row>
    <row r="208" spans="2:2" ht="24.95" customHeight="1" x14ac:dyDescent="0.25">
      <c r="B208" s="81"/>
    </row>
    <row r="209" spans="2:2" ht="24.95" customHeight="1" x14ac:dyDescent="0.25">
      <c r="B209" s="81"/>
    </row>
    <row r="210" spans="2:2" ht="24.95" customHeight="1" x14ac:dyDescent="0.25">
      <c r="B210" s="81"/>
    </row>
    <row r="211" spans="2:2" ht="24.95" customHeight="1" x14ac:dyDescent="0.25">
      <c r="B211" s="81"/>
    </row>
    <row r="212" spans="2:2" ht="24.95" customHeight="1" x14ac:dyDescent="0.25">
      <c r="B212" s="81"/>
    </row>
    <row r="213" spans="2:2" ht="24.95" customHeight="1" x14ac:dyDescent="0.25">
      <c r="B213" s="81"/>
    </row>
    <row r="214" spans="2:2" ht="24.95" customHeight="1" x14ac:dyDescent="0.25">
      <c r="B214" s="81"/>
    </row>
    <row r="215" spans="2:2" ht="24.95" customHeight="1" x14ac:dyDescent="0.25">
      <c r="B215" s="81"/>
    </row>
    <row r="216" spans="2:2" ht="24.95" customHeight="1" x14ac:dyDescent="0.25">
      <c r="B216" s="81"/>
    </row>
    <row r="217" spans="2:2" ht="24.95" customHeight="1" x14ac:dyDescent="0.25">
      <c r="B217" s="81"/>
    </row>
    <row r="218" spans="2:2" ht="24.95" customHeight="1" x14ac:dyDescent="0.25">
      <c r="B218" s="81"/>
    </row>
    <row r="219" spans="2:2" ht="24.95" customHeight="1" x14ac:dyDescent="0.25">
      <c r="B219" s="81"/>
    </row>
    <row r="220" spans="2:2" ht="24.95" customHeight="1" x14ac:dyDescent="0.25">
      <c r="B220" s="81"/>
    </row>
    <row r="221" spans="2:2" ht="24.95" customHeight="1" x14ac:dyDescent="0.25">
      <c r="B221" s="81"/>
    </row>
    <row r="222" spans="2:2" ht="24.95" customHeight="1" x14ac:dyDescent="0.25">
      <c r="B222" s="81"/>
    </row>
    <row r="223" spans="2:2" ht="24.95" customHeight="1" x14ac:dyDescent="0.25">
      <c r="B223" s="81"/>
    </row>
    <row r="224" spans="2:2" ht="24.95" customHeight="1" x14ac:dyDescent="0.25">
      <c r="B224" s="81"/>
    </row>
    <row r="225" spans="2:2" ht="24.95" customHeight="1" x14ac:dyDescent="0.25">
      <c r="B225" s="81"/>
    </row>
    <row r="226" spans="2:2" ht="24.95" customHeight="1" x14ac:dyDescent="0.25">
      <c r="B226" s="81"/>
    </row>
    <row r="227" spans="2:2" ht="24.95" customHeight="1" x14ac:dyDescent="0.25">
      <c r="B227" s="81"/>
    </row>
    <row r="228" spans="2:2" ht="24.95" customHeight="1" x14ac:dyDescent="0.25">
      <c r="B228" s="81"/>
    </row>
    <row r="229" spans="2:2" ht="24.95" customHeight="1" x14ac:dyDescent="0.25">
      <c r="B229" s="81"/>
    </row>
    <row r="230" spans="2:2" ht="24.95" customHeight="1" x14ac:dyDescent="0.25">
      <c r="B230" s="81"/>
    </row>
    <row r="231" spans="2:2" ht="24.95" customHeight="1" x14ac:dyDescent="0.25">
      <c r="B231" s="81"/>
    </row>
    <row r="232" spans="2:2" ht="24.95" customHeight="1" x14ac:dyDescent="0.25">
      <c r="B232" s="81"/>
    </row>
    <row r="233" spans="2:2" ht="24.95" customHeight="1" x14ac:dyDescent="0.25">
      <c r="B233" s="81"/>
    </row>
    <row r="234" spans="2:2" ht="24.95" customHeight="1" x14ac:dyDescent="0.25">
      <c r="B234" s="81"/>
    </row>
    <row r="235" spans="2:2" ht="24.95" customHeight="1" x14ac:dyDescent="0.25">
      <c r="B235" s="81"/>
    </row>
    <row r="236" spans="2:2" ht="24.95" customHeight="1" x14ac:dyDescent="0.25">
      <c r="B236" s="81"/>
    </row>
    <row r="237" spans="2:2" ht="24.95" customHeight="1" x14ac:dyDescent="0.25">
      <c r="B237" s="81"/>
    </row>
    <row r="238" spans="2:2" ht="24.95" customHeight="1" x14ac:dyDescent="0.25">
      <c r="B238" s="81"/>
    </row>
    <row r="239" spans="2:2" ht="24.95" customHeight="1" x14ac:dyDescent="0.25">
      <c r="B239" s="81"/>
    </row>
    <row r="240" spans="2:2" ht="24.95" customHeight="1" x14ac:dyDescent="0.25">
      <c r="B240" s="81"/>
    </row>
    <row r="241" spans="2:2" ht="24.95" customHeight="1" x14ac:dyDescent="0.25">
      <c r="B241" s="81"/>
    </row>
    <row r="242" spans="2:2" ht="24.95" customHeight="1" x14ac:dyDescent="0.25">
      <c r="B242" s="81"/>
    </row>
    <row r="243" spans="2:2" ht="24.95" customHeight="1" x14ac:dyDescent="0.25">
      <c r="B243" s="81"/>
    </row>
    <row r="244" spans="2:2" ht="24.95" customHeight="1" x14ac:dyDescent="0.25">
      <c r="B244" s="81"/>
    </row>
    <row r="245" spans="2:2" ht="24.95" customHeight="1" x14ac:dyDescent="0.25">
      <c r="B245" s="81"/>
    </row>
    <row r="246" spans="2:2" ht="24.95" customHeight="1" x14ac:dyDescent="0.25">
      <c r="B246" s="81"/>
    </row>
    <row r="247" spans="2:2" ht="24.95" customHeight="1" x14ac:dyDescent="0.25">
      <c r="B247" s="81"/>
    </row>
    <row r="248" spans="2:2" ht="24.95" customHeight="1" x14ac:dyDescent="0.25">
      <c r="B248" s="81"/>
    </row>
    <row r="249" spans="2:2" ht="24.95" customHeight="1" x14ac:dyDescent="0.25">
      <c r="B249" s="81"/>
    </row>
    <row r="250" spans="2:2" ht="24.95" customHeight="1" x14ac:dyDescent="0.25">
      <c r="B250" s="81"/>
    </row>
    <row r="251" spans="2:2" ht="24.95" customHeight="1" x14ac:dyDescent="0.25">
      <c r="B251" s="81"/>
    </row>
    <row r="252" spans="2:2" ht="24.95" customHeight="1" x14ac:dyDescent="0.25">
      <c r="B252" s="81"/>
    </row>
    <row r="253" spans="2:2" ht="24.95" customHeight="1" x14ac:dyDescent="0.25">
      <c r="B253" s="81"/>
    </row>
    <row r="254" spans="2:2" ht="24.95" customHeight="1" x14ac:dyDescent="0.25">
      <c r="B254" s="81"/>
    </row>
    <row r="255" spans="2:2" ht="24.95" customHeight="1" x14ac:dyDescent="0.25">
      <c r="B255" s="81"/>
    </row>
    <row r="256" spans="2:2" ht="24.95" customHeight="1" x14ac:dyDescent="0.25">
      <c r="B256" s="81"/>
    </row>
    <row r="257" spans="2:2" ht="24.95" customHeight="1" x14ac:dyDescent="0.25">
      <c r="B257" s="81"/>
    </row>
    <row r="258" spans="2:2" ht="24.95" customHeight="1" x14ac:dyDescent="0.25">
      <c r="B258" s="81"/>
    </row>
    <row r="259" spans="2:2" ht="24.95" customHeight="1" x14ac:dyDescent="0.25">
      <c r="B259" s="81"/>
    </row>
    <row r="260" spans="2:2" ht="24.95" customHeight="1" x14ac:dyDescent="0.25">
      <c r="B260" s="81"/>
    </row>
    <row r="261" spans="2:2" ht="24.95" customHeight="1" x14ac:dyDescent="0.25">
      <c r="B261" s="81"/>
    </row>
    <row r="262" spans="2:2" ht="24.95" customHeight="1" x14ac:dyDescent="0.25">
      <c r="B262" s="81"/>
    </row>
    <row r="263" spans="2:2" ht="24.95" customHeight="1" x14ac:dyDescent="0.25">
      <c r="B263" s="81"/>
    </row>
    <row r="264" spans="2:2" ht="24.95" customHeight="1" x14ac:dyDescent="0.25">
      <c r="B264" s="81"/>
    </row>
    <row r="265" spans="2:2" ht="24.95" customHeight="1" x14ac:dyDescent="0.25">
      <c r="B265" s="81"/>
    </row>
    <row r="266" spans="2:2" ht="24.95" customHeight="1" x14ac:dyDescent="0.25">
      <c r="B266" s="81"/>
    </row>
    <row r="267" spans="2:2" ht="24.95" customHeight="1" x14ac:dyDescent="0.25">
      <c r="B267" s="81"/>
    </row>
    <row r="268" spans="2:2" ht="24.95" customHeight="1" x14ac:dyDescent="0.25">
      <c r="B268" s="81"/>
    </row>
    <row r="269" spans="2:2" ht="24.95" customHeight="1" x14ac:dyDescent="0.25">
      <c r="B269" s="81"/>
    </row>
    <row r="270" spans="2:2" ht="24.95" customHeight="1" x14ac:dyDescent="0.25">
      <c r="B270" s="81"/>
    </row>
    <row r="271" spans="2:2" ht="24.95" customHeight="1" x14ac:dyDescent="0.25">
      <c r="B271" s="81"/>
    </row>
    <row r="272" spans="2:2" ht="24.95" customHeight="1" x14ac:dyDescent="0.25">
      <c r="B272" s="81"/>
    </row>
    <row r="273" spans="2:2" ht="24.95" customHeight="1" x14ac:dyDescent="0.25">
      <c r="B273" s="81"/>
    </row>
    <row r="274" spans="2:2" ht="24.95" customHeight="1" x14ac:dyDescent="0.25">
      <c r="B274" s="81"/>
    </row>
    <row r="275" spans="2:2" ht="24.95" customHeight="1" x14ac:dyDescent="0.25">
      <c r="B275" s="81"/>
    </row>
    <row r="276" spans="2:2" ht="24.95" customHeight="1" x14ac:dyDescent="0.25">
      <c r="B276" s="81"/>
    </row>
    <row r="277" spans="2:2" ht="24.95" customHeight="1" x14ac:dyDescent="0.25">
      <c r="B277" s="81"/>
    </row>
    <row r="278" spans="2:2" ht="24.95" customHeight="1" x14ac:dyDescent="0.25">
      <c r="B278" s="81"/>
    </row>
    <row r="279" spans="2:2" ht="24.95" customHeight="1" x14ac:dyDescent="0.25">
      <c r="B279" s="81"/>
    </row>
    <row r="280" spans="2:2" ht="24.95" customHeight="1" x14ac:dyDescent="0.25">
      <c r="B280" s="81"/>
    </row>
    <row r="281" spans="2:2" ht="24.95" customHeight="1" x14ac:dyDescent="0.25">
      <c r="B281" s="81"/>
    </row>
    <row r="282" spans="2:2" ht="24.95" customHeight="1" x14ac:dyDescent="0.25">
      <c r="B282" s="81"/>
    </row>
    <row r="283" spans="2:2" ht="24.95" customHeight="1" x14ac:dyDescent="0.25">
      <c r="B283" s="81"/>
    </row>
    <row r="284" spans="2:2" ht="24.95" customHeight="1" x14ac:dyDescent="0.25">
      <c r="B284" s="81"/>
    </row>
    <row r="285" spans="2:2" ht="24.95" customHeight="1" x14ac:dyDescent="0.25">
      <c r="B285" s="81"/>
    </row>
    <row r="286" spans="2:2" ht="24.95" customHeight="1" x14ac:dyDescent="0.25">
      <c r="B286" s="81"/>
    </row>
    <row r="287" spans="2:2" ht="24.95" customHeight="1" x14ac:dyDescent="0.25">
      <c r="B287" s="81"/>
    </row>
    <row r="288" spans="2:2" ht="24.95" customHeight="1" x14ac:dyDescent="0.25">
      <c r="B288" s="81"/>
    </row>
    <row r="289" spans="2:2" ht="24.95" customHeight="1" x14ac:dyDescent="0.25">
      <c r="B289" s="81"/>
    </row>
    <row r="290" spans="2:2" ht="24.95" customHeight="1" x14ac:dyDescent="0.25">
      <c r="B290" s="81"/>
    </row>
    <row r="291" spans="2:2" ht="24.95" customHeight="1" x14ac:dyDescent="0.25">
      <c r="B291" s="81"/>
    </row>
    <row r="292" spans="2:2" ht="24.95" customHeight="1" x14ac:dyDescent="0.25">
      <c r="B292" s="81"/>
    </row>
    <row r="293" spans="2:2" ht="24.95" customHeight="1" x14ac:dyDescent="0.25">
      <c r="B293" s="81"/>
    </row>
    <row r="294" spans="2:2" ht="24.95" customHeight="1" x14ac:dyDescent="0.25">
      <c r="B294" s="81"/>
    </row>
    <row r="295" spans="2:2" ht="24.95" customHeight="1" x14ac:dyDescent="0.25">
      <c r="B295" s="81"/>
    </row>
    <row r="296" spans="2:2" ht="24.95" customHeight="1" x14ac:dyDescent="0.25">
      <c r="B296" s="81"/>
    </row>
    <row r="297" spans="2:2" ht="24.95" customHeight="1" x14ac:dyDescent="0.25">
      <c r="B297" s="81"/>
    </row>
    <row r="298" spans="2:2" ht="24.95" customHeight="1" x14ac:dyDescent="0.25">
      <c r="B298" s="81"/>
    </row>
    <row r="299" spans="2:2" ht="24.95" customHeight="1" x14ac:dyDescent="0.25">
      <c r="B299" s="81"/>
    </row>
    <row r="300" spans="2:2" ht="24.95" customHeight="1" x14ac:dyDescent="0.25">
      <c r="B300" s="81"/>
    </row>
    <row r="301" spans="2:2" ht="24.95" customHeight="1" x14ac:dyDescent="0.25">
      <c r="B301" s="81"/>
    </row>
    <row r="302" spans="2:2" ht="24.95" customHeight="1" x14ac:dyDescent="0.25">
      <c r="B302" s="81"/>
    </row>
    <row r="303" spans="2:2" ht="24.95" customHeight="1" x14ac:dyDescent="0.25">
      <c r="B303" s="81"/>
    </row>
    <row r="304" spans="2:2" ht="24.95" customHeight="1" x14ac:dyDescent="0.25">
      <c r="B304" s="81"/>
    </row>
    <row r="305" spans="2:2" ht="24.95" customHeight="1" x14ac:dyDescent="0.25">
      <c r="B305" s="81"/>
    </row>
    <row r="306" spans="2:2" ht="24.95" customHeight="1" x14ac:dyDescent="0.25">
      <c r="B306" s="81"/>
    </row>
    <row r="307" spans="2:2" ht="24.95" customHeight="1" x14ac:dyDescent="0.25">
      <c r="B307" s="81"/>
    </row>
    <row r="308" spans="2:2" ht="24.95" customHeight="1" x14ac:dyDescent="0.25">
      <c r="B308" s="81"/>
    </row>
    <row r="309" spans="2:2" ht="24.95" customHeight="1" x14ac:dyDescent="0.25">
      <c r="B309" s="81"/>
    </row>
    <row r="310" spans="2:2" ht="24.95" customHeight="1" x14ac:dyDescent="0.25">
      <c r="B310" s="81"/>
    </row>
  </sheetData>
  <protectedRanges>
    <protectedRange sqref="B1:B1048576" name="bismillah"/>
  </protectedRanges>
  <conditionalFormatting sqref="B14:K1048576 F11:K13 B11:D13 B7:B10">
    <cfRule type="expression" dxfId="30" priority="111">
      <formula>MOD(ROW(),2)=0</formula>
    </cfRule>
    <cfRule type="expression" dxfId="29" priority="112">
      <formula>MOD(ROW(),2)=1</formula>
    </cfRule>
  </conditionalFormatting>
  <conditionalFormatting sqref="E11:E13">
    <cfRule type="expression" dxfId="28" priority="109">
      <formula>MOD(ROW(),2)=0</formula>
    </cfRule>
    <cfRule type="expression" dxfId="27" priority="110">
      <formula>MOD(ROW(),2)=1</formula>
    </cfRule>
  </conditionalFormatting>
  <conditionalFormatting sqref="B11:K1048576 B7:B10">
    <cfRule type="expression" dxfId="26" priority="104">
      <formula>ROW()=$L$5</formula>
    </cfRule>
  </conditionalFormatting>
  <conditionalFormatting sqref="E7:E8 F7:K10 C7:D10">
    <cfRule type="expression" dxfId="25" priority="4">
      <formula>MOD(ROW(),2)=0</formula>
    </cfRule>
    <cfRule type="expression" dxfId="24" priority="5">
      <formula>MOD(ROW(),2)=1</formula>
    </cfRule>
  </conditionalFormatting>
  <conditionalFormatting sqref="E7:E10">
    <cfRule type="expression" dxfId="23" priority="2">
      <formula>MOD(ROW(),2)=0</formula>
    </cfRule>
    <cfRule type="expression" dxfId="22" priority="3">
      <formula>MOD(ROW(),2)=1</formula>
    </cfRule>
  </conditionalFormatting>
  <conditionalFormatting sqref="C7:K10">
    <cfRule type="expression" dxfId="21" priority="1">
      <formula>ROW()=$L$5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embar2"/>
  <dimension ref="B1:AQ38"/>
  <sheetViews>
    <sheetView zoomScaleNormal="100" workbookViewId="0">
      <selection activeCell="E11" sqref="E11"/>
    </sheetView>
  </sheetViews>
  <sheetFormatPr defaultRowHeight="24.95" customHeight="1" x14ac:dyDescent="0.25"/>
  <cols>
    <col min="1" max="1" width="9.140625" style="1"/>
    <col min="2" max="2" width="9.140625" style="14"/>
    <col min="3" max="4" width="29.140625" style="17" customWidth="1"/>
    <col min="5" max="5" width="20.7109375" style="17" customWidth="1"/>
    <col min="6" max="17" width="20.7109375" style="11" customWidth="1"/>
    <col min="18" max="18" width="21.5703125" style="14" customWidth="1"/>
    <col min="19" max="19" width="20.28515625" style="14" customWidth="1"/>
    <col min="20" max="20" width="20.5703125" style="14" customWidth="1"/>
    <col min="21" max="21" width="22.28515625" style="14" customWidth="1"/>
    <col min="22" max="22" width="7.5703125" style="7" customWidth="1"/>
    <col min="23" max="23" width="5.5703125" style="1" hidden="1" customWidth="1"/>
    <col min="24" max="24" width="9.28515625" style="14" hidden="1" customWidth="1"/>
    <col min="25" max="25" width="4.140625" style="14" hidden="1" customWidth="1"/>
    <col min="26" max="26" width="5.7109375" style="1" hidden="1" customWidth="1"/>
    <col min="27" max="27" width="7.5703125" style="1" hidden="1" customWidth="1"/>
    <col min="28" max="28" width="9.140625" style="1"/>
    <col min="29" max="29" width="15.7109375" style="1" hidden="1" customWidth="1"/>
    <col min="30" max="30" width="7.140625" style="1" hidden="1" customWidth="1"/>
    <col min="31" max="31" width="6.5703125" style="1" customWidth="1"/>
    <col min="32" max="32" width="9.85546875" style="1" hidden="1" customWidth="1"/>
    <col min="33" max="33" width="8.85546875" style="1" hidden="1" customWidth="1"/>
    <col min="34" max="34" width="8.5703125" style="1" hidden="1" customWidth="1"/>
    <col min="35" max="35" width="8.140625" style="1" hidden="1" customWidth="1"/>
    <col min="36" max="36" width="11.7109375" style="1" hidden="1" customWidth="1"/>
    <col min="37" max="37" width="14.28515625" style="1" hidden="1" customWidth="1"/>
    <col min="38" max="38" width="12.5703125" style="1" hidden="1" customWidth="1"/>
    <col min="39" max="39" width="5.5703125" style="1" hidden="1" customWidth="1"/>
    <col min="40" max="40" width="7.140625" style="1" hidden="1" customWidth="1"/>
    <col min="41" max="41" width="9.42578125" style="1" hidden="1" customWidth="1"/>
    <col min="42" max="42" width="12.140625" style="1" hidden="1" customWidth="1"/>
    <col min="43" max="43" width="16.140625" style="1" hidden="1" customWidth="1"/>
    <col min="44" max="16384" width="9.140625" style="1"/>
  </cols>
  <sheetData>
    <row r="1" spans="2:43" ht="24.95" customHeight="1" x14ac:dyDescent="0.25">
      <c r="B1" s="1"/>
      <c r="C1" s="7"/>
      <c r="E1" s="3"/>
      <c r="F1" s="45"/>
      <c r="S1" s="16"/>
      <c r="U1" s="16"/>
      <c r="W1" s="1">
        <v>6</v>
      </c>
      <c r="Y1" s="14">
        <v>0</v>
      </c>
      <c r="Z1" s="1">
        <v>0</v>
      </c>
      <c r="AD1" s="1">
        <v>2021</v>
      </c>
      <c r="AF1" s="1" t="s">
        <v>645</v>
      </c>
      <c r="AG1" s="1" t="s">
        <v>646</v>
      </c>
      <c r="AH1" s="1" t="s">
        <v>647</v>
      </c>
      <c r="AI1" s="1" t="s">
        <v>648</v>
      </c>
      <c r="AJ1" s="1" t="s">
        <v>649</v>
      </c>
      <c r="AK1" s="1" t="s">
        <v>650</v>
      </c>
      <c r="AL1" s="1" t="s">
        <v>651</v>
      </c>
      <c r="AM1" s="1" t="s">
        <v>652</v>
      </c>
      <c r="AN1" s="1" t="s">
        <v>653</v>
      </c>
      <c r="AO1" s="1" t="s">
        <v>654</v>
      </c>
      <c r="AP1" s="1" t="s">
        <v>655</v>
      </c>
      <c r="AQ1" s="1" t="s">
        <v>656</v>
      </c>
    </row>
    <row r="2" spans="2:43" ht="24.95" customHeight="1" x14ac:dyDescent="0.25">
      <c r="B2" s="1"/>
      <c r="C2" s="7"/>
      <c r="E2" s="3"/>
      <c r="F2" s="45"/>
      <c r="S2" s="16"/>
      <c r="U2" s="16"/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-20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</row>
    <row r="3" spans="2:43" ht="24.95" customHeight="1" x14ac:dyDescent="0.25">
      <c r="B3" s="1"/>
      <c r="C3" s="7"/>
      <c r="E3" s="3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S3" s="16"/>
      <c r="U3" s="16"/>
    </row>
    <row r="4" spans="2:43" ht="24.95" customHeight="1" x14ac:dyDescent="0.25">
      <c r="B4" s="1"/>
      <c r="C4" s="7"/>
      <c r="E4" s="3"/>
      <c r="F4" s="45"/>
      <c r="S4" s="16"/>
      <c r="T4" s="13"/>
      <c r="U4" s="8"/>
      <c r="AC4" s="1">
        <v>8</v>
      </c>
    </row>
    <row r="5" spans="2:43" ht="24.95" customHeight="1" x14ac:dyDescent="0.25">
      <c r="B5" s="1"/>
      <c r="C5" s="7"/>
      <c r="E5" s="3"/>
      <c r="F5" s="45"/>
      <c r="S5" s="16"/>
      <c r="T5" s="13" t="s">
        <v>364</v>
      </c>
      <c r="U5" s="8">
        <v>7</v>
      </c>
      <c r="AC5" s="1">
        <f>COUNTA(C7:C1048576)</f>
        <v>0</v>
      </c>
    </row>
    <row r="6" spans="2:43" ht="24.95" customHeight="1" x14ac:dyDescent="0.25">
      <c r="B6" s="4"/>
      <c r="C6" s="5" t="s">
        <v>365</v>
      </c>
      <c r="D6" s="5" t="s">
        <v>379</v>
      </c>
      <c r="E6" s="5" t="s">
        <v>366</v>
      </c>
      <c r="F6" s="12" t="s">
        <v>367</v>
      </c>
      <c r="G6" s="12" t="s">
        <v>368</v>
      </c>
      <c r="H6" s="12" t="s">
        <v>369</v>
      </c>
      <c r="I6" s="12" t="s">
        <v>370</v>
      </c>
      <c r="J6" s="12" t="s">
        <v>371</v>
      </c>
      <c r="K6" s="12" t="s">
        <v>372</v>
      </c>
      <c r="L6" s="12" t="s">
        <v>373</v>
      </c>
      <c r="M6" s="12" t="s">
        <v>374</v>
      </c>
      <c r="N6" s="12" t="s">
        <v>375</v>
      </c>
      <c r="O6" s="12" t="s">
        <v>376</v>
      </c>
      <c r="P6" s="12" t="s">
        <v>377</v>
      </c>
      <c r="Q6" s="12" t="s">
        <v>378</v>
      </c>
      <c r="R6" s="15" t="s">
        <v>1</v>
      </c>
      <c r="S6" s="15" t="s">
        <v>0</v>
      </c>
      <c r="T6" s="15" t="s">
        <v>2</v>
      </c>
      <c r="U6" s="15" t="s">
        <v>3</v>
      </c>
      <c r="V6" s="8"/>
      <c r="Y6" s="69"/>
    </row>
    <row r="7" spans="2:43" ht="24.95" customHeight="1" x14ac:dyDescent="0.25">
      <c r="R7" s="56"/>
    </row>
    <row r="8" spans="2:43" ht="24.95" customHeight="1" x14ac:dyDescent="0.25">
      <c r="R8" s="56"/>
      <c r="Y8"/>
    </row>
    <row r="9" spans="2:43" ht="24.95" customHeight="1" x14ac:dyDescent="0.25">
      <c r="R9" s="56"/>
      <c r="Y9"/>
    </row>
    <row r="10" spans="2:43" ht="24.95" customHeight="1" x14ac:dyDescent="0.25">
      <c r="R10" s="56"/>
      <c r="Y10"/>
    </row>
    <row r="11" spans="2:43" ht="24.95" customHeight="1" x14ac:dyDescent="0.25">
      <c r="R11" s="56"/>
      <c r="Y11"/>
    </row>
    <row r="12" spans="2:43" ht="24.95" customHeight="1" x14ac:dyDescent="0.25">
      <c r="R12" s="56"/>
      <c r="Y12"/>
    </row>
    <row r="13" spans="2:43" ht="24.95" customHeight="1" x14ac:dyDescent="0.25">
      <c r="D13" s="87"/>
      <c r="R13" s="56"/>
      <c r="Y13"/>
    </row>
    <row r="14" spans="2:43" ht="24.95" customHeight="1" x14ac:dyDescent="0.25">
      <c r="D14" s="87"/>
      <c r="R14" s="56"/>
      <c r="Y14"/>
    </row>
    <row r="15" spans="2:43" ht="24.95" customHeight="1" x14ac:dyDescent="0.25">
      <c r="D15" s="87"/>
      <c r="R15" s="56"/>
      <c r="Y15"/>
    </row>
    <row r="16" spans="2:43" ht="24.95" customHeight="1" x14ac:dyDescent="0.25">
      <c r="D16" s="86"/>
      <c r="R16" s="56"/>
      <c r="Y16"/>
    </row>
    <row r="17" spans="4:25" ht="24.95" customHeight="1" x14ac:dyDescent="0.25">
      <c r="D17" s="87"/>
      <c r="R17" s="56"/>
      <c r="Y17"/>
    </row>
    <row r="18" spans="4:25" ht="24.95" customHeight="1" x14ac:dyDescent="0.25">
      <c r="D18" s="87"/>
      <c r="R18" s="56"/>
      <c r="Y18"/>
    </row>
    <row r="19" spans="4:25" ht="24.95" customHeight="1" x14ac:dyDescent="0.25">
      <c r="D19" s="87"/>
      <c r="R19" s="56"/>
      <c r="Y19"/>
    </row>
    <row r="20" spans="4:25" ht="24.95" customHeight="1" x14ac:dyDescent="0.25">
      <c r="D20" s="87"/>
      <c r="R20" s="56"/>
      <c r="Y20"/>
    </row>
    <row r="21" spans="4:25" ht="24.95" customHeight="1" x14ac:dyDescent="0.25">
      <c r="D21" s="87"/>
      <c r="R21" s="56"/>
      <c r="Y21"/>
    </row>
    <row r="22" spans="4:25" ht="24.95" customHeight="1" x14ac:dyDescent="0.25">
      <c r="D22" s="87"/>
      <c r="R22" s="56"/>
      <c r="Y22"/>
    </row>
    <row r="23" spans="4:25" ht="24.95" customHeight="1" x14ac:dyDescent="0.25">
      <c r="D23" s="87"/>
      <c r="R23" s="56"/>
      <c r="Y23"/>
    </row>
    <row r="24" spans="4:25" ht="24.95" customHeight="1" x14ac:dyDescent="0.25">
      <c r="D24" s="87"/>
      <c r="R24" s="56"/>
      <c r="Y24"/>
    </row>
    <row r="25" spans="4:25" ht="24.95" customHeight="1" x14ac:dyDescent="0.25">
      <c r="D25" s="86"/>
      <c r="R25" s="56"/>
      <c r="Y25"/>
    </row>
    <row r="26" spans="4:25" ht="24.95" customHeight="1" x14ac:dyDescent="0.25">
      <c r="D26" s="87"/>
      <c r="R26" s="56"/>
      <c r="Y26"/>
    </row>
    <row r="27" spans="4:25" ht="24.95" customHeight="1" x14ac:dyDescent="0.25">
      <c r="D27" s="86"/>
      <c r="R27" s="56"/>
      <c r="Y27"/>
    </row>
    <row r="28" spans="4:25" ht="24.95" customHeight="1" x14ac:dyDescent="0.25">
      <c r="D28" s="87"/>
      <c r="R28" s="56"/>
      <c r="Y28"/>
    </row>
    <row r="29" spans="4:25" ht="24.95" customHeight="1" x14ac:dyDescent="0.25">
      <c r="D29" s="86"/>
      <c r="R29" s="56"/>
      <c r="Y29"/>
    </row>
    <row r="30" spans="4:25" ht="24.95" customHeight="1" x14ac:dyDescent="0.25">
      <c r="D30" s="87"/>
      <c r="R30" s="56"/>
      <c r="Y30"/>
    </row>
    <row r="31" spans="4:25" ht="24.95" customHeight="1" x14ac:dyDescent="0.25">
      <c r="D31" s="87"/>
      <c r="R31" s="56"/>
      <c r="Y31"/>
    </row>
    <row r="32" spans="4:25" ht="24.95" customHeight="1" x14ac:dyDescent="0.25">
      <c r="R32" s="56"/>
      <c r="Y32"/>
    </row>
    <row r="33" spans="18:25" ht="24.95" customHeight="1" x14ac:dyDescent="0.25">
      <c r="R33" s="56"/>
      <c r="Y33"/>
    </row>
    <row r="34" spans="18:25" ht="24.95" customHeight="1" x14ac:dyDescent="0.25">
      <c r="R34" s="56"/>
      <c r="Y34"/>
    </row>
    <row r="35" spans="18:25" ht="24.95" customHeight="1" x14ac:dyDescent="0.25">
      <c r="R35" s="56"/>
      <c r="Y35"/>
    </row>
    <row r="36" spans="18:25" ht="24.95" customHeight="1" x14ac:dyDescent="0.25">
      <c r="R36" s="56"/>
      <c r="Y36"/>
    </row>
    <row r="37" spans="18:25" ht="24.95" customHeight="1" x14ac:dyDescent="0.25">
      <c r="R37" s="56"/>
      <c r="Y37"/>
    </row>
    <row r="38" spans="18:25" ht="24.95" customHeight="1" x14ac:dyDescent="0.25">
      <c r="R38" s="56"/>
      <c r="Y38"/>
    </row>
  </sheetData>
  <protectedRanges>
    <protectedRange algorithmName="SHA-512" hashValue="pSoUe7uQPe+gIUdS8AW8+1yZKlvi7ebbil3+FIYhmrDQe6JwQIbEP8OgNPDEUQeB5HgebAtuU0gqMAPUdxJFcw==" saltValue="3e7R0MPmva4GTtZSB4hwMw==" spinCount="100000" sqref="T5:U5" name="countbaris"/>
    <protectedRange sqref="U4:U5 B1:B1048576" name="bismillah"/>
  </protectedRanges>
  <autoFilter ref="C6:U31" xr:uid="{00000000-0009-0000-0000-000001000000}"/>
  <phoneticPr fontId="18" type="noConversion"/>
  <conditionalFormatting sqref="B7:U8 B32:U1048576 D23 B9:D12 B13:C31 E9:U31">
    <cfRule type="expression" dxfId="20" priority="22">
      <formula>MOD(ROW(),2)=0</formula>
    </cfRule>
    <cfRule type="expression" dxfId="19" priority="23">
      <formula>MOD(ROW(),2)=1</formula>
    </cfRule>
  </conditionalFormatting>
  <conditionalFormatting sqref="D13:D22">
    <cfRule type="expression" dxfId="18" priority="6">
      <formula>MOD(ROW(),2)=0</formula>
    </cfRule>
    <cfRule type="expression" dxfId="17" priority="7">
      <formula>MOD(ROW(),2)=1</formula>
    </cfRule>
  </conditionalFormatting>
  <conditionalFormatting sqref="D13:D22">
    <cfRule type="expression" dxfId="16" priority="8">
      <formula>ROW()=#REF!</formula>
    </cfRule>
  </conditionalFormatting>
  <conditionalFormatting sqref="D28:D31">
    <cfRule type="expression" dxfId="15" priority="4">
      <formula>MOD(ROW(),2)=0</formula>
    </cfRule>
    <cfRule type="expression" dxfId="14" priority="5">
      <formula>MOD(ROW(),2)=1</formula>
    </cfRule>
  </conditionalFormatting>
  <conditionalFormatting sqref="D24:D27">
    <cfRule type="expression" dxfId="13" priority="1">
      <formula>MOD(ROW(),2)=0</formula>
    </cfRule>
    <cfRule type="expression" dxfId="12" priority="2">
      <formula>MOD(ROW(),2)=1</formula>
    </cfRule>
  </conditionalFormatting>
  <conditionalFormatting sqref="D24:D27">
    <cfRule type="expression" dxfId="11" priority="3">
      <formula>ROW()=#REF!</formula>
    </cfRule>
  </conditionalFormatting>
  <dataValidations disablePrompts="1" count="2">
    <dataValidation type="decimal" allowBlank="1" showInputMessage="1" showErrorMessage="1" sqref="I4:K5 I1:K2 M4:O5 M1:O2 Q1:Q2 Q4:Q5" xr:uid="{00000000-0002-0000-0100-000000000000}">
      <formula1>1</formula1>
      <formula2>99.9</formula2>
    </dataValidation>
    <dataValidation type="decimal" allowBlank="1" showInputMessage="1" showErrorMessage="1" sqref="H1:H2 H4:H5" xr:uid="{00000000-0002-0000-0100-000001000000}">
      <formula1>-50</formula1>
      <formula2>50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6" r:id="rId4" name="CommandButton2">
          <controlPr defaultSize="0" autoLine="0" autoPict="0" r:id="rId5">
            <anchor moveWithCells="1" sizeWithCells="1">
              <from>
                <xdr:col>2</xdr:col>
                <xdr:colOff>1628775</xdr:colOff>
                <xdr:row>2</xdr:row>
                <xdr:rowOff>47625</xdr:rowOff>
              </from>
              <to>
                <xdr:col>3</xdr:col>
                <xdr:colOff>981075</xdr:colOff>
                <xdr:row>3</xdr:row>
                <xdr:rowOff>209550</xdr:rowOff>
              </to>
            </anchor>
          </controlPr>
        </control>
      </mc:Choice>
      <mc:Fallback>
        <control shapeId="2056" r:id="rId4" name="CommandButton2"/>
      </mc:Fallback>
    </mc:AlternateContent>
    <mc:AlternateContent xmlns:mc="http://schemas.openxmlformats.org/markup-compatibility/2006">
      <mc:Choice Requires="x14">
        <control shapeId="2055" r:id="rId6" name="CommandButton1">
          <controlPr defaultSize="0" autoLine="0" r:id="rId7">
            <anchor moveWithCells="1">
              <from>
                <xdr:col>2</xdr:col>
                <xdr:colOff>457200</xdr:colOff>
                <xdr:row>2</xdr:row>
                <xdr:rowOff>57150</xdr:rowOff>
              </from>
              <to>
                <xdr:col>2</xdr:col>
                <xdr:colOff>1495425</xdr:colOff>
                <xdr:row>3</xdr:row>
                <xdr:rowOff>200025</xdr:rowOff>
              </to>
            </anchor>
          </controlPr>
        </control>
      </mc:Choice>
      <mc:Fallback>
        <control shapeId="2055" r:id="rId6" name="CommandButton1"/>
      </mc:Fallback>
    </mc:AlternateContent>
    <mc:AlternateContent xmlns:mc="http://schemas.openxmlformats.org/markup-compatibility/2006">
      <mc:Choice Requires="x14">
        <control shapeId="2054" r:id="rId8" name="PID">
          <controlPr defaultSize="0" autoLine="0" r:id="rId9">
            <anchor moveWithCells="1" sizeWithCells="1">
              <from>
                <xdr:col>1</xdr:col>
                <xdr:colOff>28575</xdr:colOff>
                <xdr:row>2</xdr:row>
                <xdr:rowOff>66675</xdr:rowOff>
              </from>
              <to>
                <xdr:col>2</xdr:col>
                <xdr:colOff>304800</xdr:colOff>
                <xdr:row>3</xdr:row>
                <xdr:rowOff>190500</xdr:rowOff>
              </to>
            </anchor>
          </controlPr>
        </control>
      </mc:Choice>
      <mc:Fallback>
        <control shapeId="2054" r:id="rId8" name="PID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5A03C-5526-4A60-B5A6-F8E6F5A5754A}">
  <sheetPr codeName="Lembar4"/>
  <dimension ref="B1:AQ30"/>
  <sheetViews>
    <sheetView zoomScaleNormal="100" workbookViewId="0">
      <selection activeCell="E22" sqref="E22"/>
    </sheetView>
  </sheetViews>
  <sheetFormatPr defaultRowHeight="24.95" customHeight="1" x14ac:dyDescent="0.25"/>
  <cols>
    <col min="1" max="2" width="9.140625" style="70"/>
    <col min="3" max="3" width="24.140625" style="45" customWidth="1"/>
    <col min="4" max="4" width="13.5703125" style="11" customWidth="1"/>
    <col min="5" max="5" width="24.140625" style="11" customWidth="1"/>
    <col min="6" max="16" width="20.7109375" style="11" customWidth="1"/>
    <col min="17" max="17" width="21.5703125" style="56" customWidth="1"/>
    <col min="18" max="18" width="20.28515625" style="45" customWidth="1"/>
    <col min="19" max="19" width="21.7109375" style="45" customWidth="1"/>
    <col min="20" max="20" width="7.140625" style="70" hidden="1" customWidth="1"/>
    <col min="21" max="21" width="9.28515625" style="70" hidden="1" customWidth="1"/>
    <col min="22" max="22" width="9.140625" style="70" hidden="1" customWidth="1"/>
    <col min="23" max="23" width="1.42578125" style="70" hidden="1" customWidth="1"/>
    <col min="24" max="24" width="6.7109375" style="70" hidden="1" customWidth="1"/>
    <col min="25" max="25" width="7.5703125" style="70" hidden="1" customWidth="1"/>
    <col min="26" max="26" width="5.140625" style="70" hidden="1" customWidth="1"/>
    <col min="27" max="27" width="6.28515625" style="70" hidden="1" customWidth="1"/>
    <col min="28" max="28" width="7.85546875" style="70" hidden="1" customWidth="1"/>
    <col min="29" max="29" width="8.140625" style="70" hidden="1" customWidth="1"/>
    <col min="30" max="30" width="4.5703125" style="70" hidden="1" customWidth="1"/>
    <col min="31" max="31" width="6.28515625" style="70" hidden="1" customWidth="1"/>
    <col min="32" max="32" width="9" style="70" hidden="1" customWidth="1"/>
    <col min="33" max="33" width="7" style="70" hidden="1" customWidth="1"/>
    <col min="34" max="34" width="7.42578125" style="70" hidden="1" customWidth="1"/>
    <col min="35" max="35" width="7.140625" style="70" hidden="1" customWidth="1"/>
    <col min="36" max="36" width="5.85546875" style="70" hidden="1" customWidth="1"/>
    <col min="37" max="37" width="8.7109375" style="70" hidden="1" customWidth="1"/>
    <col min="38" max="38" width="7.85546875" style="70" hidden="1" customWidth="1"/>
    <col min="39" max="39" width="10.42578125" style="70" hidden="1" customWidth="1"/>
    <col min="40" max="40" width="13.140625" style="70" hidden="1" customWidth="1"/>
    <col min="41" max="41" width="19.28515625" style="70" hidden="1" customWidth="1"/>
    <col min="42" max="42" width="34.28515625" style="70" hidden="1" customWidth="1"/>
    <col min="43" max="43" width="40.5703125" style="70" hidden="1" customWidth="1"/>
    <col min="44" max="16384" width="9.140625" style="70"/>
  </cols>
  <sheetData>
    <row r="1" spans="2:43" ht="24.95" customHeight="1" x14ac:dyDescent="0.25">
      <c r="V1" s="70">
        <v>12</v>
      </c>
      <c r="W1" s="70">
        <v>2</v>
      </c>
      <c r="X1" s="70">
        <v>14</v>
      </c>
      <c r="Y1" s="70">
        <v>0</v>
      </c>
      <c r="Z1" s="70">
        <v>0</v>
      </c>
    </row>
    <row r="2" spans="2:43" ht="24.95" customHeight="1" x14ac:dyDescent="0.25">
      <c r="AD2" s="70">
        <v>12.5</v>
      </c>
      <c r="AE2" s="70">
        <v>11</v>
      </c>
      <c r="AF2" s="70">
        <v>11.95</v>
      </c>
      <c r="AG2" s="70">
        <v>11.92</v>
      </c>
      <c r="AH2" s="70">
        <v>11.879999999999999</v>
      </c>
      <c r="AI2" s="70">
        <v>11.9</v>
      </c>
      <c r="AJ2" s="70">
        <v>11.969999999999999</v>
      </c>
      <c r="AK2" s="70">
        <v>11.89</v>
      </c>
      <c r="AL2" s="70">
        <v>11.98</v>
      </c>
      <c r="AM2" s="70">
        <v>11.98</v>
      </c>
      <c r="AN2" s="70">
        <v>11.94</v>
      </c>
      <c r="AO2" s="70">
        <v>11.99</v>
      </c>
      <c r="AP2" s="70">
        <v>11.82</v>
      </c>
      <c r="AQ2" s="70">
        <v>11.86</v>
      </c>
    </row>
    <row r="3" spans="2:43" ht="24.95" customHeight="1" x14ac:dyDescent="0.25">
      <c r="C3" s="63"/>
      <c r="D3" s="62"/>
      <c r="E3" s="75"/>
    </row>
    <row r="4" spans="2:43" ht="32.25" customHeight="1" x14ac:dyDescent="0.25">
      <c r="C4" s="56"/>
      <c r="E4" s="62"/>
      <c r="Z4" s="70">
        <v>8</v>
      </c>
    </row>
    <row r="5" spans="2:43" ht="24.95" customHeight="1" x14ac:dyDescent="0.25">
      <c r="Z5" s="70">
        <f>COUNTA(C7:C1048576)</f>
        <v>0</v>
      </c>
    </row>
    <row r="6" spans="2:43" ht="24.95" customHeight="1" x14ac:dyDescent="0.25">
      <c r="B6" s="71"/>
      <c r="C6" s="72" t="s">
        <v>379</v>
      </c>
      <c r="D6" s="12" t="s">
        <v>366</v>
      </c>
      <c r="E6" s="12" t="s">
        <v>367</v>
      </c>
      <c r="F6" s="12" t="s">
        <v>368</v>
      </c>
      <c r="G6" s="12" t="s">
        <v>369</v>
      </c>
      <c r="H6" s="12" t="s">
        <v>370</v>
      </c>
      <c r="I6" s="12" t="s">
        <v>371</v>
      </c>
      <c r="J6" s="12" t="s">
        <v>372</v>
      </c>
      <c r="K6" s="12" t="s">
        <v>373</v>
      </c>
      <c r="L6" s="12" t="s">
        <v>374</v>
      </c>
      <c r="M6" s="12" t="s">
        <v>375</v>
      </c>
      <c r="N6" s="12" t="s">
        <v>376</v>
      </c>
      <c r="O6" s="12" t="s">
        <v>377</v>
      </c>
      <c r="P6" s="12" t="s">
        <v>378</v>
      </c>
      <c r="Q6" s="74" t="s">
        <v>2</v>
      </c>
      <c r="R6" s="72" t="s">
        <v>3</v>
      </c>
      <c r="S6" s="60"/>
      <c r="V6" s="73"/>
    </row>
    <row r="7" spans="2:43" ht="24.95" customHeight="1" x14ac:dyDescent="0.25"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</row>
    <row r="8" spans="2:43" ht="24.95" customHeight="1" x14ac:dyDescent="0.25"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W8"/>
      <c r="Y8"/>
    </row>
    <row r="9" spans="2:43" ht="24.95" customHeight="1" x14ac:dyDescent="0.25"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W9"/>
      <c r="Y9"/>
    </row>
    <row r="10" spans="2:43" ht="24.95" customHeight="1" x14ac:dyDescent="0.25"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W10"/>
      <c r="Y10"/>
    </row>
    <row r="11" spans="2:43" ht="24.95" customHeight="1" x14ac:dyDescent="0.25"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W11"/>
      <c r="Y11"/>
    </row>
    <row r="12" spans="2:43" ht="24.95" customHeight="1" x14ac:dyDescent="0.25"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W12"/>
      <c r="Y12"/>
    </row>
    <row r="13" spans="2:43" ht="24.95" customHeight="1" x14ac:dyDescent="0.25"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W13"/>
      <c r="Y13"/>
    </row>
    <row r="14" spans="2:43" ht="24.95" customHeight="1" x14ac:dyDescent="0.25"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W14"/>
      <c r="Y14"/>
    </row>
    <row r="15" spans="2:43" ht="24.95" customHeight="1" x14ac:dyDescent="0.25">
      <c r="D15" s="55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W15"/>
      <c r="Y15"/>
    </row>
    <row r="16" spans="2:43" ht="24.95" customHeight="1" x14ac:dyDescent="0.25"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W16"/>
      <c r="Y16"/>
    </row>
    <row r="17" spans="5:25" ht="24.95" customHeight="1" x14ac:dyDescent="0.25"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W17"/>
      <c r="Y17"/>
    </row>
    <row r="18" spans="5:25" ht="24.95" customHeight="1" x14ac:dyDescent="0.25"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W18"/>
      <c r="Y18"/>
    </row>
    <row r="19" spans="5:25" ht="24.95" customHeight="1" x14ac:dyDescent="0.25">
      <c r="W19"/>
      <c r="Y19"/>
    </row>
    <row r="20" spans="5:25" ht="24.95" customHeight="1" x14ac:dyDescent="0.25">
      <c r="W20"/>
      <c r="Y20"/>
    </row>
    <row r="21" spans="5:25" ht="24.95" customHeight="1" x14ac:dyDescent="0.25">
      <c r="Y21"/>
    </row>
    <row r="22" spans="5:25" ht="24.95" customHeight="1" x14ac:dyDescent="0.25">
      <c r="Y22"/>
    </row>
    <row r="23" spans="5:25" ht="24.95" customHeight="1" x14ac:dyDescent="0.25">
      <c r="Y23"/>
    </row>
    <row r="24" spans="5:25" ht="24.95" customHeight="1" x14ac:dyDescent="0.25">
      <c r="Y24"/>
    </row>
    <row r="25" spans="5:25" ht="24.95" customHeight="1" x14ac:dyDescent="0.25">
      <c r="Y25"/>
    </row>
    <row r="26" spans="5:25" ht="24.95" customHeight="1" x14ac:dyDescent="0.25">
      <c r="Y26"/>
    </row>
    <row r="27" spans="5:25" ht="24.95" customHeight="1" x14ac:dyDescent="0.25">
      <c r="Y27"/>
    </row>
    <row r="28" spans="5:25" ht="24.95" customHeight="1" x14ac:dyDescent="0.25">
      <c r="Y28"/>
    </row>
    <row r="29" spans="5:25" ht="24.95" customHeight="1" x14ac:dyDescent="0.25">
      <c r="Y29"/>
    </row>
    <row r="30" spans="5:25" ht="24.95" customHeight="1" x14ac:dyDescent="0.25">
      <c r="Y30"/>
    </row>
  </sheetData>
  <sheetProtection algorithmName="SHA-512" hashValue="IAWgQZdrJW9DzIxafLMJyrDVBAuw4J+vi5PnNw9ShEjTD9gaJfXSN7rTgMqqcm9kevElehBSa03nnCfpTzhGZg==" saltValue="1u6P2A8qi4CZy7eA1dJXew==" spinCount="100000" sheet="1" objects="1" scenarios="1"/>
  <protectedRanges>
    <protectedRange sqref="B1:B1048576" name="bismillah"/>
  </protectedRanges>
  <autoFilter ref="C6:R30" xr:uid="{00000000-0009-0000-0000-000001000000}"/>
  <conditionalFormatting sqref="B7:R1048576">
    <cfRule type="expression" dxfId="10" priority="2">
      <formula>MOD(ROW(),2)=0</formula>
    </cfRule>
    <cfRule type="expression" dxfId="9" priority="3">
      <formula>MOD(ROW(),2)=1</formula>
    </cfRule>
  </conditionalFormatting>
  <conditionalFormatting sqref="B7:R1048576">
    <cfRule type="expression" dxfId="8" priority="103">
      <formula>ROW()=#REF!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7651" r:id="rId4" name="byNasional">
          <controlPr defaultSize="0" autoLine="0" r:id="rId5">
            <anchor moveWithCells="1" sizeWithCells="1">
              <from>
                <xdr:col>3</xdr:col>
                <xdr:colOff>76200</xdr:colOff>
                <xdr:row>2</xdr:row>
                <xdr:rowOff>257175</xdr:rowOff>
              </from>
              <to>
                <xdr:col>4</xdr:col>
                <xdr:colOff>466725</xdr:colOff>
                <xdr:row>4</xdr:row>
                <xdr:rowOff>9525</xdr:rowOff>
              </to>
            </anchor>
          </controlPr>
        </control>
      </mc:Choice>
      <mc:Fallback>
        <control shapeId="27651" r:id="rId4" name="byNasional"/>
      </mc:Fallback>
    </mc:AlternateContent>
    <mc:AlternateContent xmlns:mc="http://schemas.openxmlformats.org/markup-compatibility/2006">
      <mc:Choice Requires="x14">
        <control shapeId="27649" r:id="rId6" name="Refresh">
          <controlPr defaultSize="0" autoLine="0" r:id="rId7">
            <anchor moveWithCells="1" sizeWithCells="1">
              <from>
                <xdr:col>1</xdr:col>
                <xdr:colOff>9525</xdr:colOff>
                <xdr:row>2</xdr:row>
                <xdr:rowOff>276225</xdr:rowOff>
              </from>
              <to>
                <xdr:col>2</xdr:col>
                <xdr:colOff>352425</xdr:colOff>
                <xdr:row>4</xdr:row>
                <xdr:rowOff>9525</xdr:rowOff>
              </to>
            </anchor>
          </controlPr>
        </control>
      </mc:Choice>
      <mc:Fallback>
        <control shapeId="27649" r:id="rId6" name="Refresh"/>
      </mc:Fallback>
    </mc:AlternateContent>
    <mc:AlternateContent xmlns:mc="http://schemas.openxmlformats.org/markup-compatibility/2006">
      <mc:Choice Requires="x14">
        <control shapeId="27650" r:id="rId8" name="CommandButton1">
          <controlPr defaultSize="0" autoLine="0" r:id="rId9">
            <anchor moveWithCells="1">
              <from>
                <xdr:col>2</xdr:col>
                <xdr:colOff>485775</xdr:colOff>
                <xdr:row>2</xdr:row>
                <xdr:rowOff>276225</xdr:rowOff>
              </from>
              <to>
                <xdr:col>2</xdr:col>
                <xdr:colOff>1524000</xdr:colOff>
                <xdr:row>4</xdr:row>
                <xdr:rowOff>9525</xdr:rowOff>
              </to>
            </anchor>
          </controlPr>
        </control>
      </mc:Choice>
      <mc:Fallback>
        <control shapeId="27650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A4504-0B19-452C-B43C-7B8CACA81349}">
  <sheetPr codeName="Lembar7"/>
  <dimension ref="B1:Z15"/>
  <sheetViews>
    <sheetView tabSelected="1" zoomScaleNormal="100" workbookViewId="0">
      <selection activeCell="J10" sqref="J10"/>
    </sheetView>
  </sheetViews>
  <sheetFormatPr defaultRowHeight="24.95" customHeight="1" x14ac:dyDescent="0.25"/>
  <cols>
    <col min="1" max="2" width="9.140625" style="1"/>
    <col min="3" max="3" width="29.140625" style="17" customWidth="1"/>
    <col min="4" max="4" width="20.7109375" style="17" customWidth="1"/>
    <col min="5" max="5" width="20.7109375" style="9" customWidth="1"/>
    <col min="6" max="16" width="20.7109375" style="11" customWidth="1"/>
    <col min="17" max="17" width="21.5703125" style="14" customWidth="1"/>
    <col min="18" max="18" width="20.28515625" style="17" customWidth="1"/>
    <col min="19" max="19" width="21.7109375" style="17" customWidth="1"/>
    <col min="20" max="20" width="9.42578125" style="1" customWidth="1"/>
    <col min="21" max="21" width="9.28515625" style="1" customWidth="1"/>
    <col min="22" max="23" width="9.140625" style="1"/>
    <col min="24" max="24" width="0" style="1" hidden="1" customWidth="1"/>
    <col min="25" max="25" width="9.140625" style="1"/>
    <col min="26" max="26" width="6.28515625" style="1" hidden="1" customWidth="1"/>
    <col min="27" max="16384" width="9.140625" style="1"/>
  </cols>
  <sheetData>
    <row r="1" spans="2:26" ht="24.95" customHeight="1" x14ac:dyDescent="0.25">
      <c r="Z1" s="1">
        <v>1</v>
      </c>
    </row>
    <row r="4" spans="2:26" ht="24.95" customHeight="1" x14ac:dyDescent="0.25">
      <c r="Z4" s="1">
        <v>8</v>
      </c>
    </row>
    <row r="5" spans="2:26" ht="24.95" customHeight="1" x14ac:dyDescent="0.25">
      <c r="Z5" s="1">
        <f>COUNTA(C7:C1048576)</f>
        <v>0</v>
      </c>
    </row>
    <row r="6" spans="2:26" ht="24.95" customHeight="1" x14ac:dyDescent="0.25">
      <c r="B6" s="4"/>
      <c r="C6" s="5" t="s">
        <v>510</v>
      </c>
      <c r="D6" s="5" t="s">
        <v>366</v>
      </c>
      <c r="E6" s="10" t="s">
        <v>367</v>
      </c>
      <c r="F6" s="12" t="s">
        <v>368</v>
      </c>
      <c r="G6" s="12" t="s">
        <v>369</v>
      </c>
      <c r="H6" s="12" t="s">
        <v>370</v>
      </c>
      <c r="I6" s="12" t="s">
        <v>371</v>
      </c>
      <c r="J6" s="12" t="s">
        <v>372</v>
      </c>
      <c r="K6" s="12" t="s">
        <v>373</v>
      </c>
      <c r="L6" s="12" t="s">
        <v>374</v>
      </c>
      <c r="M6" s="12" t="s">
        <v>375</v>
      </c>
      <c r="N6" s="12" t="s">
        <v>376</v>
      </c>
      <c r="O6" s="12" t="s">
        <v>377</v>
      </c>
      <c r="P6" s="12" t="s">
        <v>378</v>
      </c>
      <c r="Q6" s="15" t="s">
        <v>2</v>
      </c>
      <c r="R6" s="5" t="s">
        <v>657</v>
      </c>
      <c r="S6" s="8"/>
      <c r="V6" s="2"/>
    </row>
    <row r="7" spans="2:26" ht="24.95" customHeight="1" x14ac:dyDescent="0.25">
      <c r="E7" s="85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56"/>
    </row>
    <row r="8" spans="2:26" ht="24.95" customHeight="1" x14ac:dyDescent="0.25">
      <c r="E8" s="45"/>
      <c r="Q8" s="56"/>
    </row>
    <row r="15" spans="2:26" ht="24.95" customHeight="1" x14ac:dyDescent="0.25">
      <c r="D15" s="18"/>
    </row>
  </sheetData>
  <sheetProtection algorithmName="SHA-512" hashValue="PMpprQjjT/+8Jp/BokIF0FYRp3mdiJ2iyoI0SBaHyGEva9KFT4nL7EegDGZGPo21XzuqLvTn3b4KLPHqaGDTsQ==" saltValue="6Em68U8/w4cl4YTfx3b2hA==" spinCount="100000" sheet="1" objects="1" scenarios="1"/>
  <protectedRanges>
    <protectedRange sqref="B1:B1048576" name="bismillah"/>
  </protectedRanges>
  <autoFilter ref="C6:R6" xr:uid="{00000000-0009-0000-0000-000001000000}"/>
  <conditionalFormatting sqref="B7:R1048576">
    <cfRule type="expression" dxfId="7" priority="2">
      <formula>MOD(ROW(),2)=0</formula>
    </cfRule>
    <cfRule type="expression" dxfId="6" priority="3">
      <formula>MOD(ROW(),2)=1</formula>
    </cfRule>
  </conditionalFormatting>
  <conditionalFormatting sqref="B7:R1048576">
    <cfRule type="expression" dxfId="5" priority="104">
      <formula>ROW()=#REF!</formula>
    </cfRule>
  </conditionalFormatting>
  <dataValidations count="2">
    <dataValidation type="decimal" allowBlank="1" showInputMessage="1" showErrorMessage="1" sqref="H1:P5 K9:L1048576 M7:P1048576 H7:I1048576 J8:J1048576" xr:uid="{EBD8E067-3DD6-425E-A0B7-4039A58BBAE5}">
      <formula1>1</formula1>
      <formula2>99.9</formula2>
    </dataValidation>
    <dataValidation type="decimal" allowBlank="1" showInputMessage="1" showErrorMessage="1" sqref="G1:G5 G7:G1048576" xr:uid="{2A7F0422-A76D-44D3-B82C-7836E48EC371}">
      <formula1>-50</formula1>
      <formula2>50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8673" r:id="rId4" name="Refresh">
          <controlPr defaultSize="0" autoLine="0" r:id="rId5">
            <anchor moveWithCells="1" sizeWithCells="1">
              <from>
                <xdr:col>1</xdr:col>
                <xdr:colOff>28575</xdr:colOff>
                <xdr:row>2</xdr:row>
                <xdr:rowOff>66675</xdr:rowOff>
              </from>
              <to>
                <xdr:col>2</xdr:col>
                <xdr:colOff>304800</xdr:colOff>
                <xdr:row>3</xdr:row>
                <xdr:rowOff>190500</xdr:rowOff>
              </to>
            </anchor>
          </controlPr>
        </control>
      </mc:Choice>
      <mc:Fallback>
        <control shapeId="28673" r:id="rId4" name="Refresh"/>
      </mc:Fallback>
    </mc:AlternateContent>
    <mc:AlternateContent xmlns:mc="http://schemas.openxmlformats.org/markup-compatibility/2006">
      <mc:Choice Requires="x14">
        <control shapeId="28674" r:id="rId6" name="CommandButton1">
          <controlPr defaultSize="0" autoLine="0" r:id="rId7">
            <anchor moveWithCells="1">
              <from>
                <xdr:col>2</xdr:col>
                <xdr:colOff>457200</xdr:colOff>
                <xdr:row>2</xdr:row>
                <xdr:rowOff>57150</xdr:rowOff>
              </from>
              <to>
                <xdr:col>2</xdr:col>
                <xdr:colOff>1495425</xdr:colOff>
                <xdr:row>3</xdr:row>
                <xdr:rowOff>200025</xdr:rowOff>
              </to>
            </anchor>
          </controlPr>
        </control>
      </mc:Choice>
      <mc:Fallback>
        <control shapeId="28674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FB0D5-FFE8-48F4-B730-541545ECB6A6}">
  <sheetPr codeName="Lembar1"/>
  <dimension ref="B2:F60"/>
  <sheetViews>
    <sheetView showGridLines="0" zoomScale="90" zoomScaleNormal="90" workbookViewId="0">
      <selection activeCell="J3" sqref="J3"/>
    </sheetView>
  </sheetViews>
  <sheetFormatPr defaultRowHeight="15" x14ac:dyDescent="0.25"/>
  <cols>
    <col min="2" max="2" width="17.42578125" customWidth="1"/>
    <col min="3" max="6" width="20.42578125" customWidth="1"/>
  </cols>
  <sheetData>
    <row r="2" spans="2:6" ht="15.75" x14ac:dyDescent="0.25">
      <c r="B2" s="89" t="s">
        <v>506</v>
      </c>
      <c r="C2" s="90" t="s">
        <v>505</v>
      </c>
      <c r="D2" s="90"/>
      <c r="E2" s="90"/>
      <c r="F2" s="90"/>
    </row>
    <row r="3" spans="2:6" ht="15.75" x14ac:dyDescent="0.25">
      <c r="B3" s="89"/>
      <c r="C3" s="29" t="s">
        <v>504</v>
      </c>
      <c r="D3" s="28" t="s">
        <v>503</v>
      </c>
      <c r="E3" s="28" t="s">
        <v>502</v>
      </c>
      <c r="F3" s="28" t="s">
        <v>501</v>
      </c>
    </row>
    <row r="4" spans="2:6" ht="15.75" x14ac:dyDescent="0.25">
      <c r="B4" s="25" t="s">
        <v>500</v>
      </c>
      <c r="C4" s="22">
        <v>600</v>
      </c>
      <c r="D4" s="22">
        <v>100</v>
      </c>
      <c r="E4" s="22">
        <v>10</v>
      </c>
      <c r="F4" s="20" t="str">
        <f t="shared" ref="F4:F35" si="0">RIGHT(B4,2)</f>
        <v>16</v>
      </c>
    </row>
    <row r="5" spans="2:6" ht="15.75" x14ac:dyDescent="0.25">
      <c r="B5" s="25" t="s">
        <v>499</v>
      </c>
      <c r="C5" s="22">
        <v>800</v>
      </c>
      <c r="D5" s="22">
        <v>200</v>
      </c>
      <c r="E5" s="22">
        <v>10</v>
      </c>
      <c r="F5" s="20" t="str">
        <f t="shared" si="0"/>
        <v>16</v>
      </c>
    </row>
    <row r="6" spans="2:6" ht="15.75" x14ac:dyDescent="0.25">
      <c r="B6" s="25" t="s">
        <v>498</v>
      </c>
      <c r="C6" s="22">
        <v>600</v>
      </c>
      <c r="D6" s="22">
        <v>100</v>
      </c>
      <c r="E6" s="22">
        <v>10</v>
      </c>
      <c r="F6" s="20" t="str">
        <f t="shared" si="0"/>
        <v>16</v>
      </c>
    </row>
    <row r="7" spans="2:6" ht="15.75" x14ac:dyDescent="0.25">
      <c r="B7" s="25" t="s">
        <v>497</v>
      </c>
      <c r="C7" s="22">
        <v>400</v>
      </c>
      <c r="D7" s="22">
        <v>100</v>
      </c>
      <c r="E7" s="22">
        <v>10</v>
      </c>
      <c r="F7" s="20" t="str">
        <f t="shared" si="0"/>
        <v>12</v>
      </c>
    </row>
    <row r="8" spans="2:6" ht="15.75" x14ac:dyDescent="0.25">
      <c r="B8" s="25" t="s">
        <v>496</v>
      </c>
      <c r="C8" s="22">
        <v>600</v>
      </c>
      <c r="D8" s="22">
        <v>100</v>
      </c>
      <c r="E8" s="22">
        <v>10</v>
      </c>
      <c r="F8" s="20" t="str">
        <f t="shared" si="0"/>
        <v>16</v>
      </c>
    </row>
    <row r="9" spans="2:6" ht="15.75" x14ac:dyDescent="0.25">
      <c r="B9" s="25" t="s">
        <v>495</v>
      </c>
      <c r="C9" s="22">
        <v>600</v>
      </c>
      <c r="D9" s="22">
        <v>100</v>
      </c>
      <c r="E9" s="22">
        <v>10</v>
      </c>
      <c r="F9" s="20" t="str">
        <f t="shared" si="0"/>
        <v>16</v>
      </c>
    </row>
    <row r="10" spans="2:6" ht="15.75" x14ac:dyDescent="0.25">
      <c r="B10" s="25" t="s">
        <v>494</v>
      </c>
      <c r="C10" s="22">
        <v>800</v>
      </c>
      <c r="D10" s="22">
        <v>100</v>
      </c>
      <c r="E10" s="22">
        <v>10</v>
      </c>
      <c r="F10" s="20" t="str">
        <f t="shared" si="0"/>
        <v>12</v>
      </c>
    </row>
    <row r="11" spans="2:6" ht="15.75" x14ac:dyDescent="0.25">
      <c r="B11" s="25" t="s">
        <v>493</v>
      </c>
      <c r="C11" s="22">
        <v>800</v>
      </c>
      <c r="D11" s="22">
        <v>100</v>
      </c>
      <c r="E11" s="22">
        <v>10</v>
      </c>
      <c r="F11" s="20" t="str">
        <f t="shared" si="0"/>
        <v>12</v>
      </c>
    </row>
    <row r="12" spans="2:6" ht="15.75" x14ac:dyDescent="0.25">
      <c r="B12" s="25" t="s">
        <v>492</v>
      </c>
      <c r="C12" s="22">
        <v>600</v>
      </c>
      <c r="D12" s="22">
        <v>100</v>
      </c>
      <c r="E12" s="22">
        <v>10</v>
      </c>
      <c r="F12" s="20" t="str">
        <f t="shared" si="0"/>
        <v>20</v>
      </c>
    </row>
    <row r="13" spans="2:6" ht="15.75" x14ac:dyDescent="0.25">
      <c r="B13" s="25" t="s">
        <v>491</v>
      </c>
      <c r="C13" s="22">
        <v>600</v>
      </c>
      <c r="D13" s="22">
        <v>100</v>
      </c>
      <c r="E13" s="22">
        <v>10</v>
      </c>
      <c r="F13" s="20" t="str">
        <f t="shared" si="0"/>
        <v>20</v>
      </c>
    </row>
    <row r="14" spans="2:6" ht="15.75" x14ac:dyDescent="0.25">
      <c r="B14" s="25" t="s">
        <v>490</v>
      </c>
      <c r="C14" s="22">
        <v>500</v>
      </c>
      <c r="D14" s="22">
        <v>0</v>
      </c>
      <c r="E14" s="22">
        <v>10</v>
      </c>
      <c r="F14" s="20" t="str">
        <f t="shared" si="0"/>
        <v>20</v>
      </c>
    </row>
    <row r="15" spans="2:6" ht="15.75" x14ac:dyDescent="0.25">
      <c r="B15" s="25" t="s">
        <v>489</v>
      </c>
      <c r="C15" s="22">
        <v>500</v>
      </c>
      <c r="D15" s="22">
        <v>0</v>
      </c>
      <c r="E15" s="22">
        <v>10</v>
      </c>
      <c r="F15" s="20" t="str">
        <f t="shared" si="0"/>
        <v>20</v>
      </c>
    </row>
    <row r="16" spans="2:6" ht="15.75" x14ac:dyDescent="0.25">
      <c r="B16" s="25" t="s">
        <v>488</v>
      </c>
      <c r="C16" s="22">
        <v>800</v>
      </c>
      <c r="D16" s="22">
        <v>200</v>
      </c>
      <c r="E16" s="22">
        <v>10</v>
      </c>
      <c r="F16" s="20" t="str">
        <f t="shared" si="0"/>
        <v>10</v>
      </c>
    </row>
    <row r="17" spans="2:6" ht="15.75" x14ac:dyDescent="0.25">
      <c r="B17" s="25" t="s">
        <v>487</v>
      </c>
      <c r="C17" s="22">
        <v>1000</v>
      </c>
      <c r="D17" s="22">
        <v>200</v>
      </c>
      <c r="E17" s="22">
        <v>10</v>
      </c>
      <c r="F17" s="20" t="str">
        <f t="shared" si="0"/>
        <v>12</v>
      </c>
    </row>
    <row r="18" spans="2:6" ht="15.75" x14ac:dyDescent="0.25">
      <c r="B18" s="25" t="s">
        <v>486</v>
      </c>
      <c r="C18" s="22">
        <v>500</v>
      </c>
      <c r="D18" s="22">
        <v>0</v>
      </c>
      <c r="E18" s="22">
        <v>10</v>
      </c>
      <c r="F18" s="20" t="str">
        <f t="shared" si="0"/>
        <v>20</v>
      </c>
    </row>
    <row r="19" spans="2:6" ht="15.75" x14ac:dyDescent="0.25">
      <c r="B19" s="25" t="s">
        <v>485</v>
      </c>
      <c r="C19" s="22">
        <v>1000</v>
      </c>
      <c r="D19" s="22">
        <v>200</v>
      </c>
      <c r="E19" s="22">
        <v>10</v>
      </c>
      <c r="F19" s="20" t="str">
        <f t="shared" si="0"/>
        <v>12</v>
      </c>
    </row>
    <row r="20" spans="2:6" ht="15.75" x14ac:dyDescent="0.25">
      <c r="B20" s="25" t="s">
        <v>484</v>
      </c>
      <c r="C20" s="22">
        <v>1000</v>
      </c>
      <c r="D20" s="22">
        <v>200</v>
      </c>
      <c r="E20" s="22">
        <v>10</v>
      </c>
      <c r="F20" s="20" t="str">
        <f t="shared" si="0"/>
        <v>12</v>
      </c>
    </row>
    <row r="21" spans="2:6" ht="15.75" x14ac:dyDescent="0.25">
      <c r="B21" s="25" t="s">
        <v>483</v>
      </c>
      <c r="C21" s="22">
        <v>600</v>
      </c>
      <c r="D21" s="22">
        <v>100</v>
      </c>
      <c r="E21" s="22">
        <v>10</v>
      </c>
      <c r="F21" s="20" t="str">
        <f t="shared" si="0"/>
        <v>16</v>
      </c>
    </row>
    <row r="22" spans="2:6" ht="15.75" x14ac:dyDescent="0.25">
      <c r="B22" s="25" t="s">
        <v>482</v>
      </c>
      <c r="C22" s="22">
        <v>800</v>
      </c>
      <c r="D22" s="22">
        <v>100</v>
      </c>
      <c r="E22" s="22">
        <v>10</v>
      </c>
      <c r="F22" s="20" t="str">
        <f t="shared" si="0"/>
        <v>12</v>
      </c>
    </row>
    <row r="23" spans="2:6" ht="15.75" x14ac:dyDescent="0.25">
      <c r="B23" s="25" t="s">
        <v>481</v>
      </c>
      <c r="C23" s="22">
        <v>500</v>
      </c>
      <c r="D23" s="22">
        <v>0</v>
      </c>
      <c r="E23" s="22">
        <v>10</v>
      </c>
      <c r="F23" s="20" t="str">
        <f t="shared" si="0"/>
        <v>20</v>
      </c>
    </row>
    <row r="24" spans="2:6" ht="15.75" x14ac:dyDescent="0.25">
      <c r="B24" s="25" t="s">
        <v>480</v>
      </c>
      <c r="C24" s="22">
        <v>800</v>
      </c>
      <c r="D24" s="22">
        <v>100</v>
      </c>
      <c r="E24" s="22">
        <v>10</v>
      </c>
      <c r="F24" s="20" t="str">
        <f t="shared" si="0"/>
        <v>12</v>
      </c>
    </row>
    <row r="25" spans="2:6" ht="15.75" x14ac:dyDescent="0.25">
      <c r="B25" s="25" t="s">
        <v>479</v>
      </c>
      <c r="C25" s="22">
        <v>400</v>
      </c>
      <c r="D25" s="22">
        <v>100</v>
      </c>
      <c r="E25" s="22">
        <v>10</v>
      </c>
      <c r="F25" s="20" t="str">
        <f t="shared" si="0"/>
        <v>12</v>
      </c>
    </row>
    <row r="26" spans="2:6" ht="15.75" x14ac:dyDescent="0.25">
      <c r="B26" s="25" t="s">
        <v>478</v>
      </c>
      <c r="C26" s="22">
        <v>1000</v>
      </c>
      <c r="D26" s="22">
        <v>200</v>
      </c>
      <c r="E26" s="22">
        <v>10</v>
      </c>
      <c r="F26" s="20" t="str">
        <f t="shared" si="0"/>
        <v>12</v>
      </c>
    </row>
    <row r="27" spans="2:6" ht="15.75" x14ac:dyDescent="0.25">
      <c r="B27" s="27" t="s">
        <v>477</v>
      </c>
      <c r="C27" s="22">
        <v>800</v>
      </c>
      <c r="D27" s="22">
        <v>0</v>
      </c>
      <c r="E27" s="22">
        <v>10</v>
      </c>
      <c r="F27" s="20" t="str">
        <f t="shared" si="0"/>
        <v>12</v>
      </c>
    </row>
    <row r="28" spans="2:6" ht="15.75" x14ac:dyDescent="0.25">
      <c r="B28" s="25" t="s">
        <v>476</v>
      </c>
      <c r="C28" s="22">
        <v>500</v>
      </c>
      <c r="D28" s="22">
        <v>0</v>
      </c>
      <c r="E28" s="22">
        <v>10</v>
      </c>
      <c r="F28" s="20" t="str">
        <f t="shared" si="0"/>
        <v>20</v>
      </c>
    </row>
    <row r="29" spans="2:6" ht="15.75" x14ac:dyDescent="0.25">
      <c r="B29" s="27" t="s">
        <v>475</v>
      </c>
      <c r="C29" s="22">
        <v>200</v>
      </c>
      <c r="D29" s="22">
        <v>0</v>
      </c>
      <c r="E29" s="22">
        <v>4</v>
      </c>
      <c r="F29" s="20" t="str">
        <f t="shared" si="0"/>
        <v>50</v>
      </c>
    </row>
    <row r="30" spans="2:6" ht="15.75" x14ac:dyDescent="0.25">
      <c r="B30" s="25" t="s">
        <v>474</v>
      </c>
      <c r="C30" s="22">
        <v>600</v>
      </c>
      <c r="D30" s="22">
        <v>100</v>
      </c>
      <c r="E30" s="22">
        <v>10</v>
      </c>
      <c r="F30" s="20" t="str">
        <f t="shared" si="0"/>
        <v>16</v>
      </c>
    </row>
    <row r="31" spans="2:6" ht="15.75" x14ac:dyDescent="0.25">
      <c r="B31" s="27" t="s">
        <v>473</v>
      </c>
      <c r="C31" s="22">
        <v>600</v>
      </c>
      <c r="D31" s="22">
        <v>100</v>
      </c>
      <c r="E31" s="22">
        <v>10</v>
      </c>
      <c r="F31" s="20" t="str">
        <f t="shared" si="0"/>
        <v>16</v>
      </c>
    </row>
    <row r="32" spans="2:6" ht="15.75" x14ac:dyDescent="0.25">
      <c r="B32" s="27" t="s">
        <v>472</v>
      </c>
      <c r="C32" s="22">
        <v>800</v>
      </c>
      <c r="D32" s="22">
        <v>200</v>
      </c>
      <c r="E32" s="22">
        <v>10</v>
      </c>
      <c r="F32" s="20" t="str">
        <f t="shared" si="0"/>
        <v>16</v>
      </c>
    </row>
    <row r="33" spans="2:6" ht="15.75" x14ac:dyDescent="0.25">
      <c r="B33" s="27" t="s">
        <v>471</v>
      </c>
      <c r="C33" s="22">
        <v>500</v>
      </c>
      <c r="D33" s="22">
        <v>0</v>
      </c>
      <c r="E33" s="22">
        <v>10</v>
      </c>
      <c r="F33" s="20" t="str">
        <f t="shared" si="0"/>
        <v>20</v>
      </c>
    </row>
    <row r="34" spans="2:6" ht="15.75" x14ac:dyDescent="0.25">
      <c r="B34" s="27" t="s">
        <v>470</v>
      </c>
      <c r="C34" s="22">
        <v>500</v>
      </c>
      <c r="D34" s="22">
        <v>0</v>
      </c>
      <c r="E34" s="22">
        <v>10</v>
      </c>
      <c r="F34" s="20" t="str">
        <f t="shared" si="0"/>
        <v>20</v>
      </c>
    </row>
    <row r="35" spans="2:6" ht="15.75" x14ac:dyDescent="0.25">
      <c r="B35" s="27" t="s">
        <v>469</v>
      </c>
      <c r="C35" s="24">
        <v>500</v>
      </c>
      <c r="D35" s="24">
        <v>0</v>
      </c>
      <c r="E35" s="24">
        <v>10</v>
      </c>
      <c r="F35" s="20" t="str">
        <f t="shared" si="0"/>
        <v>20</v>
      </c>
    </row>
    <row r="36" spans="2:6" ht="15.75" x14ac:dyDescent="0.25">
      <c r="B36" s="25" t="s">
        <v>468</v>
      </c>
      <c r="C36" s="22">
        <v>600</v>
      </c>
      <c r="D36" s="22">
        <v>100</v>
      </c>
      <c r="E36" s="22">
        <v>10</v>
      </c>
      <c r="F36" s="20" t="str">
        <f t="shared" ref="F36:F60" si="1">RIGHT(B36,2)</f>
        <v>16</v>
      </c>
    </row>
    <row r="37" spans="2:6" ht="15.75" x14ac:dyDescent="0.25">
      <c r="B37" s="26" t="s">
        <v>467</v>
      </c>
      <c r="C37" s="24">
        <v>800</v>
      </c>
      <c r="D37" s="24">
        <v>100</v>
      </c>
      <c r="E37" s="24">
        <v>10</v>
      </c>
      <c r="F37" s="20" t="str">
        <f t="shared" si="1"/>
        <v>12</v>
      </c>
    </row>
    <row r="38" spans="2:6" ht="15.75" x14ac:dyDescent="0.25">
      <c r="B38" s="26" t="s">
        <v>466</v>
      </c>
      <c r="C38" s="24">
        <v>800</v>
      </c>
      <c r="D38" s="24">
        <v>100</v>
      </c>
      <c r="E38" s="24">
        <v>10</v>
      </c>
      <c r="F38" s="20" t="str">
        <f t="shared" si="1"/>
        <v>12</v>
      </c>
    </row>
    <row r="39" spans="2:6" ht="15.75" x14ac:dyDescent="0.25">
      <c r="B39" s="26" t="s">
        <v>465</v>
      </c>
      <c r="C39" s="24">
        <v>800</v>
      </c>
      <c r="D39" s="24">
        <v>100</v>
      </c>
      <c r="E39" s="24">
        <v>10</v>
      </c>
      <c r="F39" s="20" t="str">
        <f t="shared" si="1"/>
        <v>12</v>
      </c>
    </row>
    <row r="40" spans="2:6" ht="15.75" x14ac:dyDescent="0.25">
      <c r="B40" s="27" t="s">
        <v>464</v>
      </c>
      <c r="C40" s="22">
        <v>800</v>
      </c>
      <c r="D40" s="22">
        <v>100</v>
      </c>
      <c r="E40" s="22">
        <v>10</v>
      </c>
      <c r="F40" s="20" t="str">
        <f t="shared" si="1"/>
        <v>12</v>
      </c>
    </row>
    <row r="41" spans="2:6" ht="15.75" x14ac:dyDescent="0.25">
      <c r="B41" s="25" t="s">
        <v>463</v>
      </c>
      <c r="C41" s="22">
        <v>1000</v>
      </c>
      <c r="D41" s="22">
        <v>200</v>
      </c>
      <c r="E41" s="22">
        <v>10</v>
      </c>
      <c r="F41" s="20" t="str">
        <f t="shared" si="1"/>
        <v>12</v>
      </c>
    </row>
    <row r="42" spans="2:6" ht="15.75" x14ac:dyDescent="0.25">
      <c r="B42" s="25" t="s">
        <v>462</v>
      </c>
      <c r="C42" s="22">
        <v>600</v>
      </c>
      <c r="D42" s="22">
        <v>100</v>
      </c>
      <c r="E42" s="22">
        <v>10</v>
      </c>
      <c r="F42" s="20" t="str">
        <f t="shared" si="1"/>
        <v>16</v>
      </c>
    </row>
    <row r="43" spans="2:6" ht="15.75" x14ac:dyDescent="0.25">
      <c r="B43" s="27" t="s">
        <v>461</v>
      </c>
      <c r="C43" s="22">
        <v>800</v>
      </c>
      <c r="D43" s="22">
        <v>100</v>
      </c>
      <c r="E43" s="22">
        <v>10</v>
      </c>
      <c r="F43" s="20" t="str">
        <f t="shared" si="1"/>
        <v>12</v>
      </c>
    </row>
    <row r="44" spans="2:6" ht="15.75" x14ac:dyDescent="0.25">
      <c r="B44" s="26" t="s">
        <v>460</v>
      </c>
      <c r="C44" s="24">
        <v>200</v>
      </c>
      <c r="D44" s="24">
        <v>0</v>
      </c>
      <c r="E44" s="24">
        <v>4</v>
      </c>
      <c r="F44" s="20" t="str">
        <f t="shared" si="1"/>
        <v>50</v>
      </c>
    </row>
    <row r="45" spans="2:6" ht="15.75" x14ac:dyDescent="0.25">
      <c r="B45" s="25" t="s">
        <v>459</v>
      </c>
      <c r="C45" s="22">
        <v>800</v>
      </c>
      <c r="D45" s="22">
        <v>100</v>
      </c>
      <c r="E45" s="22">
        <v>10</v>
      </c>
      <c r="F45" s="20" t="str">
        <f t="shared" si="1"/>
        <v>12</v>
      </c>
    </row>
    <row r="46" spans="2:6" ht="15.75" x14ac:dyDescent="0.25">
      <c r="B46" s="23" t="s">
        <v>458</v>
      </c>
      <c r="C46" s="22">
        <v>500</v>
      </c>
      <c r="D46" s="22">
        <v>0</v>
      </c>
      <c r="E46" s="22">
        <v>10</v>
      </c>
      <c r="F46" s="20" t="str">
        <f t="shared" si="1"/>
        <v>20</v>
      </c>
    </row>
    <row r="47" spans="2:6" ht="15.75" x14ac:dyDescent="0.25">
      <c r="B47" s="23" t="s">
        <v>457</v>
      </c>
      <c r="C47" s="24">
        <v>800</v>
      </c>
      <c r="D47" s="24">
        <v>200</v>
      </c>
      <c r="E47" s="24">
        <v>10</v>
      </c>
      <c r="F47" s="20" t="str">
        <f t="shared" si="1"/>
        <v>12</v>
      </c>
    </row>
    <row r="48" spans="2:6" ht="15.75" x14ac:dyDescent="0.25">
      <c r="B48" s="23" t="s">
        <v>456</v>
      </c>
      <c r="C48" s="23">
        <v>600</v>
      </c>
      <c r="D48" s="23">
        <v>100</v>
      </c>
      <c r="E48" s="23">
        <v>10</v>
      </c>
      <c r="F48" s="20" t="str">
        <f t="shared" si="1"/>
        <v>16</v>
      </c>
    </row>
    <row r="49" spans="2:6" ht="15.75" x14ac:dyDescent="0.25">
      <c r="B49" s="23" t="s">
        <v>455</v>
      </c>
      <c r="C49" s="23">
        <v>800</v>
      </c>
      <c r="D49" s="23">
        <v>100</v>
      </c>
      <c r="E49" s="23">
        <v>10</v>
      </c>
      <c r="F49" s="20" t="str">
        <f t="shared" si="1"/>
        <v>12</v>
      </c>
    </row>
    <row r="50" spans="2:6" ht="15.75" x14ac:dyDescent="0.25">
      <c r="B50" s="21" t="s">
        <v>454</v>
      </c>
      <c r="C50" s="21">
        <v>800</v>
      </c>
      <c r="D50" s="21">
        <v>200</v>
      </c>
      <c r="E50" s="21">
        <v>10</v>
      </c>
      <c r="F50" s="20" t="str">
        <f t="shared" si="1"/>
        <v>12</v>
      </c>
    </row>
    <row r="51" spans="2:6" ht="15.75" x14ac:dyDescent="0.25">
      <c r="B51" s="21" t="s">
        <v>453</v>
      </c>
      <c r="C51" s="21">
        <v>400</v>
      </c>
      <c r="D51" s="21">
        <v>100</v>
      </c>
      <c r="E51" s="21">
        <v>10</v>
      </c>
      <c r="F51" s="20" t="str">
        <f t="shared" si="1"/>
        <v>12</v>
      </c>
    </row>
    <row r="52" spans="2:6" ht="15.75" x14ac:dyDescent="0.25">
      <c r="B52" s="21" t="s">
        <v>452</v>
      </c>
      <c r="C52" s="21">
        <v>800</v>
      </c>
      <c r="D52" s="21">
        <v>200</v>
      </c>
      <c r="E52" s="21">
        <v>10</v>
      </c>
      <c r="F52" s="20" t="str">
        <f t="shared" si="1"/>
        <v>12</v>
      </c>
    </row>
    <row r="53" spans="2:6" ht="15.75" x14ac:dyDescent="0.25">
      <c r="B53" s="21" t="s">
        <v>451</v>
      </c>
      <c r="C53" s="21">
        <v>600</v>
      </c>
      <c r="D53" s="21">
        <v>100</v>
      </c>
      <c r="E53" s="21">
        <v>10</v>
      </c>
      <c r="F53" s="20" t="str">
        <f t="shared" si="1"/>
        <v>16</v>
      </c>
    </row>
    <row r="54" spans="2:6" ht="15.75" x14ac:dyDescent="0.25">
      <c r="B54" s="21" t="s">
        <v>450</v>
      </c>
      <c r="C54" s="21">
        <v>800</v>
      </c>
      <c r="D54" s="21">
        <v>200</v>
      </c>
      <c r="E54" s="21">
        <v>10</v>
      </c>
      <c r="F54" s="20" t="str">
        <f t="shared" si="1"/>
        <v>12</v>
      </c>
    </row>
    <row r="55" spans="2:6" ht="15.75" x14ac:dyDescent="0.25">
      <c r="B55" s="21" t="s">
        <v>449</v>
      </c>
      <c r="C55" s="21">
        <v>800</v>
      </c>
      <c r="D55" s="21">
        <v>100</v>
      </c>
      <c r="E55" s="21">
        <v>10</v>
      </c>
      <c r="F55" s="20" t="str">
        <f t="shared" si="1"/>
        <v>12</v>
      </c>
    </row>
    <row r="56" spans="2:6" ht="15.75" x14ac:dyDescent="0.25">
      <c r="B56" s="21" t="s">
        <v>448</v>
      </c>
      <c r="C56" s="21">
        <v>800</v>
      </c>
      <c r="D56" s="21">
        <v>200</v>
      </c>
      <c r="E56" s="21">
        <v>10</v>
      </c>
      <c r="F56" s="20" t="str">
        <f t="shared" si="1"/>
        <v>12</v>
      </c>
    </row>
    <row r="57" spans="2:6" ht="15.75" x14ac:dyDescent="0.25">
      <c r="B57" s="21" t="s">
        <v>447</v>
      </c>
      <c r="C57" s="21">
        <v>800</v>
      </c>
      <c r="D57" s="21">
        <v>200</v>
      </c>
      <c r="E57" s="21">
        <v>10</v>
      </c>
      <c r="F57" s="20" t="str">
        <f t="shared" si="1"/>
        <v>12</v>
      </c>
    </row>
    <row r="58" spans="2:6" ht="15.75" x14ac:dyDescent="0.25">
      <c r="B58" s="21" t="s">
        <v>446</v>
      </c>
      <c r="C58" s="22">
        <v>1000</v>
      </c>
      <c r="D58" s="22">
        <v>200</v>
      </c>
      <c r="E58" s="22">
        <v>10</v>
      </c>
      <c r="F58" s="20" t="str">
        <f t="shared" si="1"/>
        <v>12</v>
      </c>
    </row>
    <row r="59" spans="2:6" ht="15.75" x14ac:dyDescent="0.25">
      <c r="B59" s="21" t="s">
        <v>445</v>
      </c>
      <c r="C59" s="21">
        <v>600</v>
      </c>
      <c r="D59" s="21">
        <v>100</v>
      </c>
      <c r="E59" s="21">
        <v>10</v>
      </c>
      <c r="F59" s="20" t="str">
        <f t="shared" si="1"/>
        <v>16</v>
      </c>
    </row>
    <row r="60" spans="2:6" ht="15.75" x14ac:dyDescent="0.25">
      <c r="B60" s="21" t="s">
        <v>444</v>
      </c>
      <c r="C60" s="21">
        <v>800</v>
      </c>
      <c r="D60" s="21"/>
      <c r="E60" s="21">
        <v>10</v>
      </c>
      <c r="F60" s="20" t="str">
        <f t="shared" si="1"/>
        <v>12</v>
      </c>
    </row>
  </sheetData>
  <mergeCells count="2">
    <mergeCell ref="B2:B3"/>
    <mergeCell ref="C2:F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CEFEA-ACE1-47A1-A53A-72DD12ED71F4}">
  <sheetPr codeName="Lembar8"/>
  <dimension ref="A1:H124"/>
  <sheetViews>
    <sheetView topLeftCell="A94" workbookViewId="0">
      <selection activeCell="D92" sqref="D92"/>
    </sheetView>
  </sheetViews>
  <sheetFormatPr defaultRowHeight="15" x14ac:dyDescent="0.25"/>
  <cols>
    <col min="2" max="2" width="30.7109375" customWidth="1"/>
    <col min="3" max="3" width="22.7109375" customWidth="1"/>
    <col min="4" max="4" width="22.85546875" customWidth="1"/>
    <col min="5" max="5" width="19.140625" customWidth="1"/>
    <col min="6" max="6" width="31.28515625" customWidth="1"/>
    <col min="7" max="7" width="12.85546875" hidden="1" customWidth="1"/>
    <col min="8" max="8" width="17.5703125" customWidth="1"/>
  </cols>
  <sheetData>
    <row r="1" spans="1:8" x14ac:dyDescent="0.25">
      <c r="A1">
        <v>12</v>
      </c>
      <c r="G1">
        <f>COUNTA(Tabel2[Master Regional])</f>
        <v>12</v>
      </c>
    </row>
    <row r="5" spans="1:8" x14ac:dyDescent="0.25">
      <c r="B5" t="s">
        <v>365</v>
      </c>
      <c r="C5" t="s">
        <v>379</v>
      </c>
      <c r="D5" t="s">
        <v>380</v>
      </c>
      <c r="F5" t="s">
        <v>644</v>
      </c>
      <c r="H5" t="s">
        <v>660</v>
      </c>
    </row>
    <row r="6" spans="1:8" x14ac:dyDescent="0.25">
      <c r="B6" s="48" t="s">
        <v>642</v>
      </c>
      <c r="C6" t="s">
        <v>630</v>
      </c>
      <c r="D6" t="str">
        <f>LEFT(Tabel35[[#This Row],[Warehouse]],4)</f>
        <v>ZD0A</v>
      </c>
      <c r="F6" s="76" t="s">
        <v>630</v>
      </c>
      <c r="H6">
        <f>COUNTIF(C6:C150,"Indonesia Timur")</f>
        <v>12</v>
      </c>
    </row>
    <row r="7" spans="1:8" x14ac:dyDescent="0.25">
      <c r="B7" s="49" t="s">
        <v>641</v>
      </c>
      <c r="C7" t="s">
        <v>630</v>
      </c>
      <c r="D7" t="str">
        <f>LEFT(Tabel35[[#This Row],[Warehouse]],4)</f>
        <v>ZD0B</v>
      </c>
      <c r="F7" s="76" t="s">
        <v>615</v>
      </c>
      <c r="H7">
        <f>COUNTIF(C6:C150,"Sumatra 1")</f>
        <v>14</v>
      </c>
    </row>
    <row r="8" spans="1:8" x14ac:dyDescent="0.25">
      <c r="B8" s="48" t="s">
        <v>640</v>
      </c>
      <c r="C8" t="s">
        <v>630</v>
      </c>
      <c r="D8" t="str">
        <f>LEFT(Tabel35[[#This Row],[Warehouse]],4)</f>
        <v>ZD0C</v>
      </c>
      <c r="F8" s="76" t="s">
        <v>605</v>
      </c>
      <c r="H8">
        <f>COUNTIF(C6:C150,"Sumatra 2")</f>
        <v>9</v>
      </c>
    </row>
    <row r="9" spans="1:8" x14ac:dyDescent="0.25">
      <c r="B9" s="49" t="s">
        <v>639</v>
      </c>
      <c r="C9" t="s">
        <v>630</v>
      </c>
      <c r="D9" t="str">
        <f>LEFT(Tabel35[[#This Row],[Warehouse]],4)</f>
        <v>ZD0D</v>
      </c>
      <c r="F9" s="76" t="s">
        <v>589</v>
      </c>
      <c r="H9">
        <f>COUNTIF(C6:C150,"Sumatra3-4")</f>
        <v>15</v>
      </c>
    </row>
    <row r="10" spans="1:8" x14ac:dyDescent="0.25">
      <c r="B10" s="48" t="s">
        <v>638</v>
      </c>
      <c r="C10" t="s">
        <v>630</v>
      </c>
      <c r="D10" t="str">
        <f>LEFT(Tabel35[[#This Row],[Warehouse]],4)</f>
        <v>ZD0E</v>
      </c>
      <c r="F10" s="76" t="s">
        <v>569</v>
      </c>
      <c r="H10">
        <f>COUNTIF(C6:C150,"Jakarta Outer")</f>
        <v>11</v>
      </c>
    </row>
    <row r="11" spans="1:8" x14ac:dyDescent="0.25">
      <c r="B11" s="49" t="s">
        <v>637</v>
      </c>
      <c r="C11" t="s">
        <v>630</v>
      </c>
      <c r="D11" t="str">
        <f>LEFT(Tabel35[[#This Row],[Warehouse]],4)</f>
        <v>ZD0F</v>
      </c>
      <c r="F11" s="76" t="s">
        <v>557</v>
      </c>
      <c r="H11">
        <f>COUNTIF(C6:C150,"Jakarta Inner")</f>
        <v>11</v>
      </c>
    </row>
    <row r="12" spans="1:8" x14ac:dyDescent="0.25">
      <c r="B12" s="48" t="s">
        <v>636</v>
      </c>
      <c r="C12" t="s">
        <v>630</v>
      </c>
      <c r="D12" t="str">
        <f>LEFT(Tabel35[[#This Row],[Warehouse]],4)</f>
        <v>ZD0G</v>
      </c>
      <c r="F12" s="76" t="s">
        <v>554</v>
      </c>
      <c r="H12">
        <f>COUNTIF(C6:C150,"Java 1")</f>
        <v>9</v>
      </c>
    </row>
    <row r="13" spans="1:8" x14ac:dyDescent="0.25">
      <c r="B13" s="49" t="s">
        <v>635</v>
      </c>
      <c r="C13" t="s">
        <v>630</v>
      </c>
      <c r="D13" t="str">
        <f>LEFT(Tabel35[[#This Row],[Warehouse]],4)</f>
        <v>ZD0H</v>
      </c>
      <c r="F13" s="76" t="s">
        <v>543</v>
      </c>
      <c r="H13">
        <f>COUNTIF(C6:C150,"Java 2")</f>
        <v>7</v>
      </c>
    </row>
    <row r="14" spans="1:8" x14ac:dyDescent="0.25">
      <c r="B14" s="48" t="s">
        <v>634</v>
      </c>
      <c r="C14" t="s">
        <v>630</v>
      </c>
      <c r="D14" t="str">
        <f>LEFT(Tabel35[[#This Row],[Warehouse]],4)</f>
        <v>ZD0I</v>
      </c>
      <c r="F14" s="76" t="s">
        <v>538</v>
      </c>
      <c r="H14">
        <f>COUNTIF(C6:C150,"Java 3")</f>
        <v>6</v>
      </c>
    </row>
    <row r="15" spans="1:8" x14ac:dyDescent="0.25">
      <c r="B15" s="49" t="s">
        <v>633</v>
      </c>
      <c r="C15" t="s">
        <v>630</v>
      </c>
      <c r="D15" t="str">
        <f>LEFT(Tabel35[[#This Row],[Warehouse]],4)</f>
        <v>ZD0J</v>
      </c>
      <c r="F15" s="76" t="s">
        <v>528</v>
      </c>
      <c r="H15">
        <f>COUNTIF(C6:C150,"Java 4")</f>
        <v>11</v>
      </c>
    </row>
    <row r="16" spans="1:8" x14ac:dyDescent="0.25">
      <c r="B16" s="48" t="s">
        <v>632</v>
      </c>
      <c r="C16" t="s">
        <v>630</v>
      </c>
      <c r="D16" t="str">
        <f>LEFT(Tabel35[[#This Row],[Warehouse]],4)</f>
        <v>ZD0K</v>
      </c>
      <c r="F16" s="76" t="s">
        <v>522</v>
      </c>
      <c r="H16">
        <f>COUNTIF(C6:C150,"Bali Nusra")</f>
        <v>5</v>
      </c>
    </row>
    <row r="17" spans="2:8" x14ac:dyDescent="0.25">
      <c r="B17" s="49" t="s">
        <v>631</v>
      </c>
      <c r="C17" t="s">
        <v>630</v>
      </c>
      <c r="D17" t="str">
        <f>LEFT(Tabel35[[#This Row],[Warehouse]],4)</f>
        <v>ZD0M</v>
      </c>
      <c r="F17" s="77" t="s">
        <v>512</v>
      </c>
      <c r="H17">
        <f>COUNTIF(C6:C150,"Kalimantan")</f>
        <v>9</v>
      </c>
    </row>
    <row r="18" spans="2:8" x14ac:dyDescent="0.25">
      <c r="B18" s="48" t="s">
        <v>629</v>
      </c>
      <c r="C18" t="s">
        <v>615</v>
      </c>
      <c r="D18" t="str">
        <f>LEFT(Tabel35[[#This Row],[Warehouse]],4)</f>
        <v>ZD1A</v>
      </c>
    </row>
    <row r="19" spans="2:8" x14ac:dyDescent="0.25">
      <c r="B19" s="49" t="s">
        <v>628</v>
      </c>
      <c r="C19" t="s">
        <v>615</v>
      </c>
      <c r="D19" t="str">
        <f>LEFT(Tabel35[[#This Row],[Warehouse]],4)</f>
        <v>ZD1B</v>
      </c>
    </row>
    <row r="20" spans="2:8" x14ac:dyDescent="0.25">
      <c r="B20" s="48" t="s">
        <v>627</v>
      </c>
      <c r="C20" t="s">
        <v>615</v>
      </c>
      <c r="D20" t="str">
        <f>LEFT(Tabel35[[#This Row],[Warehouse]],4)</f>
        <v>ZD1C</v>
      </c>
    </row>
    <row r="21" spans="2:8" x14ac:dyDescent="0.25">
      <c r="B21" s="49" t="s">
        <v>626</v>
      </c>
      <c r="C21" t="s">
        <v>615</v>
      </c>
      <c r="D21" t="str">
        <f>LEFT(Tabel35[[#This Row],[Warehouse]],4)</f>
        <v>ZD1D</v>
      </c>
    </row>
    <row r="22" spans="2:8" x14ac:dyDescent="0.25">
      <c r="B22" s="48" t="s">
        <v>625</v>
      </c>
      <c r="C22" t="s">
        <v>615</v>
      </c>
      <c r="D22" t="str">
        <f>LEFT(Tabel35[[#This Row],[Warehouse]],4)</f>
        <v>ZD1E</v>
      </c>
    </row>
    <row r="23" spans="2:8" x14ac:dyDescent="0.25">
      <c r="B23" s="49" t="s">
        <v>624</v>
      </c>
      <c r="C23" t="s">
        <v>615</v>
      </c>
      <c r="D23" t="str">
        <f>LEFT(Tabel35[[#This Row],[Warehouse]],4)</f>
        <v>ZD1F</v>
      </c>
    </row>
    <row r="24" spans="2:8" x14ac:dyDescent="0.25">
      <c r="B24" s="48" t="s">
        <v>623</v>
      </c>
      <c r="C24" t="s">
        <v>615</v>
      </c>
      <c r="D24" t="str">
        <f>LEFT(Tabel35[[#This Row],[Warehouse]],4)</f>
        <v>ZD1G</v>
      </c>
    </row>
    <row r="25" spans="2:8" x14ac:dyDescent="0.25">
      <c r="B25" s="49" t="s">
        <v>622</v>
      </c>
      <c r="C25" t="s">
        <v>615</v>
      </c>
      <c r="D25" t="str">
        <f>LEFT(Tabel35[[#This Row],[Warehouse]],4)</f>
        <v>ZD1H</v>
      </c>
    </row>
    <row r="26" spans="2:8" x14ac:dyDescent="0.25">
      <c r="B26" s="48" t="s">
        <v>621</v>
      </c>
      <c r="C26" t="s">
        <v>615</v>
      </c>
      <c r="D26" t="str">
        <f>LEFT(Tabel35[[#This Row],[Warehouse]],4)</f>
        <v>ZD1I</v>
      </c>
    </row>
    <row r="27" spans="2:8" x14ac:dyDescent="0.25">
      <c r="B27" s="49" t="s">
        <v>620</v>
      </c>
      <c r="C27" t="s">
        <v>615</v>
      </c>
      <c r="D27" t="str">
        <f>LEFT(Tabel35[[#This Row],[Warehouse]],4)</f>
        <v>ZD1J</v>
      </c>
    </row>
    <row r="28" spans="2:8" x14ac:dyDescent="0.25">
      <c r="B28" s="48" t="s">
        <v>619</v>
      </c>
      <c r="C28" t="s">
        <v>615</v>
      </c>
      <c r="D28" t="str">
        <f>LEFT(Tabel35[[#This Row],[Warehouse]],4)</f>
        <v>ZD1K</v>
      </c>
    </row>
    <row r="29" spans="2:8" x14ac:dyDescent="0.25">
      <c r="B29" s="49" t="s">
        <v>618</v>
      </c>
      <c r="C29" t="s">
        <v>615</v>
      </c>
      <c r="D29" t="str">
        <f>LEFT(Tabel35[[#This Row],[Warehouse]],4)</f>
        <v>ZD1L</v>
      </c>
    </row>
    <row r="30" spans="2:8" x14ac:dyDescent="0.25">
      <c r="B30" s="48" t="s">
        <v>617</v>
      </c>
      <c r="C30" t="s">
        <v>615</v>
      </c>
      <c r="D30" t="str">
        <f>LEFT(Tabel35[[#This Row],[Warehouse]],4)</f>
        <v>ZD1M</v>
      </c>
    </row>
    <row r="31" spans="2:8" x14ac:dyDescent="0.25">
      <c r="B31" s="49" t="s">
        <v>616</v>
      </c>
      <c r="C31" t="s">
        <v>615</v>
      </c>
      <c r="D31" t="str">
        <f>LEFT(Tabel35[[#This Row],[Warehouse]],4)</f>
        <v>ZD1N</v>
      </c>
    </row>
    <row r="32" spans="2:8" x14ac:dyDescent="0.25">
      <c r="B32" s="48" t="s">
        <v>614</v>
      </c>
      <c r="C32" t="s">
        <v>605</v>
      </c>
      <c r="D32" t="str">
        <f>LEFT(Tabel35[[#This Row],[Warehouse]],4)</f>
        <v>ZD2A</v>
      </c>
    </row>
    <row r="33" spans="2:4" x14ac:dyDescent="0.25">
      <c r="B33" s="49" t="s">
        <v>613</v>
      </c>
      <c r="C33" t="s">
        <v>605</v>
      </c>
      <c r="D33" t="str">
        <f>LEFT(Tabel35[[#This Row],[Warehouse]],4)</f>
        <v>ZD2B</v>
      </c>
    </row>
    <row r="34" spans="2:4" x14ac:dyDescent="0.25">
      <c r="B34" s="48" t="s">
        <v>612</v>
      </c>
      <c r="C34" t="s">
        <v>605</v>
      </c>
      <c r="D34" t="str">
        <f>LEFT(Tabel35[[#This Row],[Warehouse]],4)</f>
        <v>ZD2C</v>
      </c>
    </row>
    <row r="35" spans="2:4" x14ac:dyDescent="0.25">
      <c r="B35" s="49" t="s">
        <v>611</v>
      </c>
      <c r="C35" t="s">
        <v>605</v>
      </c>
      <c r="D35" t="str">
        <f>LEFT(Tabel35[[#This Row],[Warehouse]],4)</f>
        <v>ZD2D</v>
      </c>
    </row>
    <row r="36" spans="2:4" x14ac:dyDescent="0.25">
      <c r="B36" s="48" t="s">
        <v>610</v>
      </c>
      <c r="C36" t="s">
        <v>605</v>
      </c>
      <c r="D36" t="str">
        <f>LEFT(Tabel35[[#This Row],[Warehouse]],4)</f>
        <v>ZD2E</v>
      </c>
    </row>
    <row r="37" spans="2:4" x14ac:dyDescent="0.25">
      <c r="B37" s="49" t="s">
        <v>609</v>
      </c>
      <c r="C37" t="s">
        <v>605</v>
      </c>
      <c r="D37" t="str">
        <f>LEFT(Tabel35[[#This Row],[Warehouse]],4)</f>
        <v>ZD2F</v>
      </c>
    </row>
    <row r="38" spans="2:4" x14ac:dyDescent="0.25">
      <c r="B38" s="48" t="s">
        <v>608</v>
      </c>
      <c r="C38" t="s">
        <v>605</v>
      </c>
      <c r="D38" t="str">
        <f>LEFT(Tabel35[[#This Row],[Warehouse]],4)</f>
        <v>ZD2G</v>
      </c>
    </row>
    <row r="39" spans="2:4" x14ac:dyDescent="0.25">
      <c r="B39" s="49" t="s">
        <v>607</v>
      </c>
      <c r="C39" t="s">
        <v>605</v>
      </c>
      <c r="D39" t="str">
        <f>LEFT(Tabel35[[#This Row],[Warehouse]],4)</f>
        <v>ZD2H</v>
      </c>
    </row>
    <row r="40" spans="2:4" x14ac:dyDescent="0.25">
      <c r="B40" s="48" t="s">
        <v>606</v>
      </c>
      <c r="C40" t="s">
        <v>605</v>
      </c>
      <c r="D40" t="str">
        <f>LEFT(Tabel35[[#This Row],[Warehouse]],4)</f>
        <v>ZD2I</v>
      </c>
    </row>
    <row r="41" spans="2:4" x14ac:dyDescent="0.25">
      <c r="B41" s="49" t="s">
        <v>604</v>
      </c>
      <c r="C41" t="s">
        <v>589</v>
      </c>
      <c r="D41" t="str">
        <f>LEFT(Tabel35[[#This Row],[Warehouse]],4)</f>
        <v>ZD3B</v>
      </c>
    </row>
    <row r="42" spans="2:4" x14ac:dyDescent="0.25">
      <c r="B42" s="48" t="s">
        <v>603</v>
      </c>
      <c r="C42" t="s">
        <v>589</v>
      </c>
      <c r="D42" t="str">
        <f>LEFT(Tabel35[[#This Row],[Warehouse]],4)</f>
        <v>ZD3C</v>
      </c>
    </row>
    <row r="43" spans="2:4" x14ac:dyDescent="0.25">
      <c r="B43" s="49" t="s">
        <v>602</v>
      </c>
      <c r="C43" t="s">
        <v>589</v>
      </c>
      <c r="D43" t="str">
        <f>LEFT(Tabel35[[#This Row],[Warehouse]],4)</f>
        <v>ZD3D</v>
      </c>
    </row>
    <row r="44" spans="2:4" x14ac:dyDescent="0.25">
      <c r="B44" s="48" t="s">
        <v>601</v>
      </c>
      <c r="C44" t="s">
        <v>589</v>
      </c>
      <c r="D44" t="str">
        <f>LEFT(Tabel35[[#This Row],[Warehouse]],4)</f>
        <v>ZD3E</v>
      </c>
    </row>
    <row r="45" spans="2:4" x14ac:dyDescent="0.25">
      <c r="B45" s="49" t="s">
        <v>600</v>
      </c>
      <c r="C45" t="s">
        <v>589</v>
      </c>
      <c r="D45" t="str">
        <f>LEFT(Tabel35[[#This Row],[Warehouse]],4)</f>
        <v>ZD3F</v>
      </c>
    </row>
    <row r="46" spans="2:4" x14ac:dyDescent="0.25">
      <c r="B46" s="48" t="s">
        <v>599</v>
      </c>
      <c r="C46" t="s">
        <v>589</v>
      </c>
      <c r="D46" t="str">
        <f>LEFT(Tabel35[[#This Row],[Warehouse]],4)</f>
        <v>ZD3G</v>
      </c>
    </row>
    <row r="47" spans="2:4" x14ac:dyDescent="0.25">
      <c r="B47" s="49" t="s">
        <v>598</v>
      </c>
      <c r="C47" t="s">
        <v>589</v>
      </c>
      <c r="D47" t="str">
        <f>LEFT(Tabel35[[#This Row],[Warehouse]],4)</f>
        <v>ZD3H</v>
      </c>
    </row>
    <row r="48" spans="2:4" x14ac:dyDescent="0.25">
      <c r="B48" s="48" t="s">
        <v>597</v>
      </c>
      <c r="C48" t="s">
        <v>589</v>
      </c>
      <c r="D48" t="str">
        <f>LEFT(Tabel35[[#This Row],[Warehouse]],4)</f>
        <v>ZD3I</v>
      </c>
    </row>
    <row r="49" spans="2:4" x14ac:dyDescent="0.25">
      <c r="B49" s="49" t="s">
        <v>596</v>
      </c>
      <c r="C49" t="s">
        <v>589</v>
      </c>
      <c r="D49" t="str">
        <f>LEFT(Tabel35[[#This Row],[Warehouse]],4)</f>
        <v>ZD3J</v>
      </c>
    </row>
    <row r="50" spans="2:4" x14ac:dyDescent="0.25">
      <c r="B50" s="48" t="s">
        <v>595</v>
      </c>
      <c r="C50" t="s">
        <v>589</v>
      </c>
      <c r="D50" t="str">
        <f>LEFT(Tabel35[[#This Row],[Warehouse]],4)</f>
        <v>ZD3K</v>
      </c>
    </row>
    <row r="51" spans="2:4" x14ac:dyDescent="0.25">
      <c r="B51" s="49" t="s">
        <v>594</v>
      </c>
      <c r="C51" t="s">
        <v>589</v>
      </c>
      <c r="D51" t="str">
        <f>LEFT(Tabel35[[#This Row],[Warehouse]],4)</f>
        <v>ZD3L</v>
      </c>
    </row>
    <row r="52" spans="2:4" x14ac:dyDescent="0.25">
      <c r="B52" s="48" t="s">
        <v>593</v>
      </c>
      <c r="C52" t="s">
        <v>589</v>
      </c>
      <c r="D52" t="str">
        <f>LEFT(Tabel35[[#This Row],[Warehouse]],4)</f>
        <v>ZD3M</v>
      </c>
    </row>
    <row r="53" spans="2:4" x14ac:dyDescent="0.25">
      <c r="B53" s="49" t="s">
        <v>592</v>
      </c>
      <c r="C53" t="s">
        <v>589</v>
      </c>
      <c r="D53" t="str">
        <f>LEFT(Tabel35[[#This Row],[Warehouse]],4)</f>
        <v>ZD3N</v>
      </c>
    </row>
    <row r="54" spans="2:4" x14ac:dyDescent="0.25">
      <c r="B54" s="48" t="s">
        <v>591</v>
      </c>
      <c r="C54" t="s">
        <v>589</v>
      </c>
      <c r="D54" t="str">
        <f>LEFT(Tabel35[[#This Row],[Warehouse]],4)</f>
        <v>ZD3O</v>
      </c>
    </row>
    <row r="55" spans="2:4" x14ac:dyDescent="0.25">
      <c r="B55" s="49" t="s">
        <v>590</v>
      </c>
      <c r="C55" t="s">
        <v>589</v>
      </c>
      <c r="D55" t="str">
        <f>LEFT(Tabel35[[#This Row],[Warehouse]],4)</f>
        <v>ZD3Q</v>
      </c>
    </row>
    <row r="56" spans="2:4" x14ac:dyDescent="0.25">
      <c r="B56" s="48" t="s">
        <v>588</v>
      </c>
      <c r="C56" t="s">
        <v>569</v>
      </c>
      <c r="D56" t="str">
        <f>LEFT(Tabel35[[#This Row],[Warehouse]],4)</f>
        <v>ZD4A</v>
      </c>
    </row>
    <row r="57" spans="2:4" x14ac:dyDescent="0.25">
      <c r="B57" s="49" t="s">
        <v>587</v>
      </c>
      <c r="C57" t="s">
        <v>569</v>
      </c>
      <c r="D57" t="str">
        <f>LEFT(Tabel35[[#This Row],[Warehouse]],4)</f>
        <v>ZD4B</v>
      </c>
    </row>
    <row r="58" spans="2:4" x14ac:dyDescent="0.25">
      <c r="B58" s="48" t="s">
        <v>586</v>
      </c>
      <c r="C58" t="s">
        <v>557</v>
      </c>
      <c r="D58" t="str">
        <f>LEFT(Tabel35[[#This Row],[Warehouse]],4)</f>
        <v>ZD4C</v>
      </c>
    </row>
    <row r="59" spans="2:4" x14ac:dyDescent="0.25">
      <c r="B59" s="49" t="s">
        <v>585</v>
      </c>
      <c r="C59" t="s">
        <v>557</v>
      </c>
      <c r="D59" t="str">
        <f>LEFT(Tabel35[[#This Row],[Warehouse]],4)</f>
        <v>ZD4D</v>
      </c>
    </row>
    <row r="60" spans="2:4" x14ac:dyDescent="0.25">
      <c r="B60" s="48" t="s">
        <v>584</v>
      </c>
      <c r="C60" t="s">
        <v>569</v>
      </c>
      <c r="D60" t="str">
        <f>LEFT(Tabel35[[#This Row],[Warehouse]],4)</f>
        <v>ZD4E</v>
      </c>
    </row>
    <row r="61" spans="2:4" x14ac:dyDescent="0.25">
      <c r="B61" s="49" t="s">
        <v>583</v>
      </c>
      <c r="C61" t="s">
        <v>557</v>
      </c>
      <c r="D61" t="str">
        <f>LEFT(Tabel35[[#This Row],[Warehouse]],4)</f>
        <v>ZD4F</v>
      </c>
    </row>
    <row r="62" spans="2:4" x14ac:dyDescent="0.25">
      <c r="B62" s="48" t="s">
        <v>582</v>
      </c>
      <c r="C62" t="s">
        <v>569</v>
      </c>
      <c r="D62" t="str">
        <f>LEFT(Tabel35[[#This Row],[Warehouse]],4)</f>
        <v>ZD4G</v>
      </c>
    </row>
    <row r="63" spans="2:4" x14ac:dyDescent="0.25">
      <c r="B63" s="49" t="s">
        <v>581</v>
      </c>
      <c r="C63" t="s">
        <v>557</v>
      </c>
      <c r="D63" t="str">
        <f>LEFT(Tabel35[[#This Row],[Warehouse]],4)</f>
        <v>ZD4H</v>
      </c>
    </row>
    <row r="64" spans="2:4" x14ac:dyDescent="0.25">
      <c r="B64" s="48" t="s">
        <v>580</v>
      </c>
      <c r="C64" t="s">
        <v>569</v>
      </c>
      <c r="D64" t="str">
        <f>LEFT(Tabel35[[#This Row],[Warehouse]],4)</f>
        <v>ZD4I</v>
      </c>
    </row>
    <row r="65" spans="2:4" x14ac:dyDescent="0.25">
      <c r="B65" s="49" t="s">
        <v>579</v>
      </c>
      <c r="C65" t="s">
        <v>569</v>
      </c>
      <c r="D65" t="str">
        <f>LEFT(Tabel35[[#This Row],[Warehouse]],4)</f>
        <v>ZD4J</v>
      </c>
    </row>
    <row r="66" spans="2:4" x14ac:dyDescent="0.25">
      <c r="B66" s="48" t="s">
        <v>578</v>
      </c>
      <c r="C66" t="s">
        <v>557</v>
      </c>
      <c r="D66" t="str">
        <f>LEFT(Tabel35[[#This Row],[Warehouse]],4)</f>
        <v>ZD4K</v>
      </c>
    </row>
    <row r="67" spans="2:4" x14ac:dyDescent="0.25">
      <c r="B67" s="49" t="s">
        <v>577</v>
      </c>
      <c r="C67" t="s">
        <v>557</v>
      </c>
      <c r="D67" t="str">
        <f>LEFT(Tabel35[[#This Row],[Warehouse]],4)</f>
        <v>ZD4L</v>
      </c>
    </row>
    <row r="68" spans="2:4" x14ac:dyDescent="0.25">
      <c r="B68" s="48" t="s">
        <v>576</v>
      </c>
      <c r="C68" t="s">
        <v>557</v>
      </c>
      <c r="D68" t="str">
        <f>LEFT(Tabel35[[#This Row],[Warehouse]],4)</f>
        <v>ZD4M</v>
      </c>
    </row>
    <row r="69" spans="2:4" x14ac:dyDescent="0.25">
      <c r="B69" s="49" t="s">
        <v>575</v>
      </c>
      <c r="C69" t="s">
        <v>557</v>
      </c>
      <c r="D69" t="str">
        <f>LEFT(Tabel35[[#This Row],[Warehouse]],4)</f>
        <v>ZD4N</v>
      </c>
    </row>
    <row r="70" spans="2:4" x14ac:dyDescent="0.25">
      <c r="B70" s="48" t="s">
        <v>574</v>
      </c>
      <c r="C70" t="s">
        <v>569</v>
      </c>
      <c r="D70" t="str">
        <f>LEFT(Tabel35[[#This Row],[Warehouse]],4)</f>
        <v>ZD4O</v>
      </c>
    </row>
    <row r="71" spans="2:4" x14ac:dyDescent="0.25">
      <c r="B71" s="49" t="s">
        <v>573</v>
      </c>
      <c r="C71" t="s">
        <v>569</v>
      </c>
      <c r="D71" t="str">
        <f>LEFT(Tabel35[[#This Row],[Warehouse]],4)</f>
        <v>ZD4P</v>
      </c>
    </row>
    <row r="72" spans="2:4" x14ac:dyDescent="0.25">
      <c r="B72" s="48" t="s">
        <v>572</v>
      </c>
      <c r="C72" t="s">
        <v>569</v>
      </c>
      <c r="D72" t="str">
        <f>LEFT(Tabel35[[#This Row],[Warehouse]],4)</f>
        <v>ZD4Q</v>
      </c>
    </row>
    <row r="73" spans="2:4" x14ac:dyDescent="0.25">
      <c r="B73" s="49" t="s">
        <v>571</v>
      </c>
      <c r="C73" t="s">
        <v>569</v>
      </c>
      <c r="D73" t="str">
        <f>LEFT(Tabel35[[#This Row],[Warehouse]],4)</f>
        <v>ZD4R</v>
      </c>
    </row>
    <row r="74" spans="2:4" x14ac:dyDescent="0.25">
      <c r="B74" s="48" t="s">
        <v>570</v>
      </c>
      <c r="C74" t="s">
        <v>569</v>
      </c>
      <c r="D74" t="str">
        <f>LEFT(Tabel35[[#This Row],[Warehouse]],4)</f>
        <v>ZD4S</v>
      </c>
    </row>
    <row r="75" spans="2:4" x14ac:dyDescent="0.25">
      <c r="B75" s="49" t="s">
        <v>568</v>
      </c>
      <c r="C75" t="s">
        <v>557</v>
      </c>
      <c r="D75" t="str">
        <f>LEFT(Tabel35[[#This Row],[Warehouse]],4)</f>
        <v>ZD4T</v>
      </c>
    </row>
    <row r="76" spans="2:4" x14ac:dyDescent="0.25">
      <c r="B76" s="48" t="s">
        <v>567</v>
      </c>
      <c r="C76" t="s">
        <v>554</v>
      </c>
      <c r="D76" t="str">
        <f>LEFT(Tabel35[[#This Row],[Warehouse]],4)</f>
        <v>ZD5A</v>
      </c>
    </row>
    <row r="77" spans="2:4" x14ac:dyDescent="0.25">
      <c r="B77" s="49" t="s">
        <v>566</v>
      </c>
      <c r="C77" t="s">
        <v>554</v>
      </c>
      <c r="D77" t="str">
        <f>LEFT(Tabel35[[#This Row],[Warehouse]],4)</f>
        <v>ZD5B</v>
      </c>
    </row>
    <row r="78" spans="2:4" x14ac:dyDescent="0.25">
      <c r="B78" s="48" t="s">
        <v>565</v>
      </c>
      <c r="C78" t="s">
        <v>554</v>
      </c>
      <c r="D78" t="str">
        <f>LEFT(Tabel35[[#This Row],[Warehouse]],4)</f>
        <v>ZD5C</v>
      </c>
    </row>
    <row r="79" spans="2:4" x14ac:dyDescent="0.25">
      <c r="B79" s="49" t="s">
        <v>564</v>
      </c>
      <c r="C79" t="s">
        <v>554</v>
      </c>
      <c r="D79" t="str">
        <f>LEFT(Tabel35[[#This Row],[Warehouse]],4)</f>
        <v>ZD5D</v>
      </c>
    </row>
    <row r="80" spans="2:4" x14ac:dyDescent="0.25">
      <c r="B80" s="48" t="s">
        <v>563</v>
      </c>
      <c r="C80" t="s">
        <v>554</v>
      </c>
      <c r="D80" t="str">
        <f>LEFT(Tabel35[[#This Row],[Warehouse]],4)</f>
        <v>ZD5E</v>
      </c>
    </row>
    <row r="81" spans="2:4" x14ac:dyDescent="0.25">
      <c r="B81" s="49" t="s">
        <v>562</v>
      </c>
      <c r="C81" t="s">
        <v>554</v>
      </c>
      <c r="D81" t="str">
        <f>LEFT(Tabel35[[#This Row],[Warehouse]],4)</f>
        <v>ZD5F</v>
      </c>
    </row>
    <row r="82" spans="2:4" x14ac:dyDescent="0.25">
      <c r="B82" s="48" t="s">
        <v>561</v>
      </c>
      <c r="C82" t="s">
        <v>554</v>
      </c>
      <c r="D82" t="str">
        <f>LEFT(Tabel35[[#This Row],[Warehouse]],4)</f>
        <v>ZD5G</v>
      </c>
    </row>
    <row r="83" spans="2:4" x14ac:dyDescent="0.25">
      <c r="B83" s="49" t="s">
        <v>560</v>
      </c>
      <c r="C83" t="s">
        <v>543</v>
      </c>
      <c r="D83" t="str">
        <f>LEFT(Tabel35[[#This Row],[Warehouse]],4)</f>
        <v>ZD5H</v>
      </c>
    </row>
    <row r="84" spans="2:4" x14ac:dyDescent="0.25">
      <c r="B84" s="48" t="s">
        <v>559</v>
      </c>
      <c r="C84" t="s">
        <v>557</v>
      </c>
      <c r="D84" t="str">
        <f>LEFT(Tabel35[[#This Row],[Warehouse]],4)</f>
        <v>ZD5I</v>
      </c>
    </row>
    <row r="85" spans="2:4" x14ac:dyDescent="0.25">
      <c r="B85" s="49" t="s">
        <v>558</v>
      </c>
      <c r="C85" t="s">
        <v>557</v>
      </c>
      <c r="D85" t="str">
        <f>LEFT(Tabel35[[#This Row],[Warehouse]],4)</f>
        <v>ZD5J</v>
      </c>
    </row>
    <row r="86" spans="2:4" x14ac:dyDescent="0.25">
      <c r="B86" s="48" t="s">
        <v>556</v>
      </c>
      <c r="C86" t="s">
        <v>554</v>
      </c>
      <c r="D86" t="str">
        <f>LEFT(Tabel35[[#This Row],[Warehouse]],4)</f>
        <v>ZD5K</v>
      </c>
    </row>
    <row r="87" spans="2:4" x14ac:dyDescent="0.25">
      <c r="B87" s="49" t="s">
        <v>555</v>
      </c>
      <c r="C87" t="s">
        <v>554</v>
      </c>
      <c r="D87" t="str">
        <f>LEFT(Tabel35[[#This Row],[Warehouse]],4)</f>
        <v>ZD5M</v>
      </c>
    </row>
    <row r="88" spans="2:4" x14ac:dyDescent="0.25">
      <c r="B88" s="48" t="s">
        <v>553</v>
      </c>
      <c r="C88" t="s">
        <v>538</v>
      </c>
      <c r="D88" t="str">
        <f>LEFT(Tabel35[[#This Row],[Warehouse]],4)</f>
        <v>ZD6B</v>
      </c>
    </row>
    <row r="89" spans="2:4" x14ac:dyDescent="0.25">
      <c r="B89" s="49" t="s">
        <v>552</v>
      </c>
      <c r="C89" t="s">
        <v>538</v>
      </c>
      <c r="D89" t="str">
        <f>LEFT(Tabel35[[#This Row],[Warehouse]],4)</f>
        <v>ZD6C</v>
      </c>
    </row>
    <row r="90" spans="2:4" x14ac:dyDescent="0.25">
      <c r="B90" s="48" t="s">
        <v>551</v>
      </c>
      <c r="C90" t="s">
        <v>538</v>
      </c>
      <c r="D90" t="str">
        <f>LEFT(Tabel35[[#This Row],[Warehouse]],4)</f>
        <v>ZD6D</v>
      </c>
    </row>
    <row r="91" spans="2:4" x14ac:dyDescent="0.25">
      <c r="B91" s="49" t="s">
        <v>550</v>
      </c>
      <c r="C91" t="s">
        <v>538</v>
      </c>
      <c r="D91" t="str">
        <f>LEFT(Tabel35[[#This Row],[Warehouse]],4)</f>
        <v>ZD6E</v>
      </c>
    </row>
    <row r="92" spans="2:4" x14ac:dyDescent="0.25">
      <c r="B92" s="48" t="s">
        <v>549</v>
      </c>
      <c r="C92" t="s">
        <v>543</v>
      </c>
      <c r="D92" t="str">
        <f>LEFT(Tabel35[[#This Row],[Warehouse]],4)</f>
        <v>ZD6F</v>
      </c>
    </row>
    <row r="93" spans="2:4" x14ac:dyDescent="0.25">
      <c r="B93" s="49" t="s">
        <v>548</v>
      </c>
      <c r="C93" t="s">
        <v>543</v>
      </c>
      <c r="D93" t="str">
        <f>LEFT(Tabel35[[#This Row],[Warehouse]],4)</f>
        <v>ZD6G</v>
      </c>
    </row>
    <row r="94" spans="2:4" x14ac:dyDescent="0.25">
      <c r="B94" s="48" t="s">
        <v>547</v>
      </c>
      <c r="C94" t="s">
        <v>543</v>
      </c>
      <c r="D94" t="str">
        <f>LEFT(Tabel35[[#This Row],[Warehouse]],4)</f>
        <v>ZD6H</v>
      </c>
    </row>
    <row r="95" spans="2:4" x14ac:dyDescent="0.25">
      <c r="B95" s="49" t="s">
        <v>546</v>
      </c>
      <c r="C95" t="s">
        <v>543</v>
      </c>
      <c r="D95" t="str">
        <f>LEFT(Tabel35[[#This Row],[Warehouse]],4)</f>
        <v>ZD6I</v>
      </c>
    </row>
    <row r="96" spans="2:4" x14ac:dyDescent="0.25">
      <c r="B96" s="48" t="s">
        <v>545</v>
      </c>
      <c r="C96" t="s">
        <v>543</v>
      </c>
      <c r="D96" t="str">
        <f>LEFT(Tabel35[[#This Row],[Warehouse]],4)</f>
        <v>ZD6J</v>
      </c>
    </row>
    <row r="97" spans="2:4" x14ac:dyDescent="0.25">
      <c r="B97" s="49" t="s">
        <v>544</v>
      </c>
      <c r="C97" t="s">
        <v>543</v>
      </c>
      <c r="D97" t="str">
        <f>LEFT(Tabel35[[#This Row],[Warehouse]],4)</f>
        <v>ZD6K</v>
      </c>
    </row>
    <row r="98" spans="2:4" x14ac:dyDescent="0.25">
      <c r="B98" s="48" t="s">
        <v>542</v>
      </c>
      <c r="C98" t="s">
        <v>528</v>
      </c>
      <c r="D98" t="str">
        <f>LEFT(Tabel35[[#This Row],[Warehouse]],4)</f>
        <v>ZD7B</v>
      </c>
    </row>
    <row r="99" spans="2:4" x14ac:dyDescent="0.25">
      <c r="B99" s="49" t="s">
        <v>541</v>
      </c>
      <c r="C99" t="s">
        <v>538</v>
      </c>
      <c r="D99" t="str">
        <f>LEFT(Tabel35[[#This Row],[Warehouse]],4)</f>
        <v>ZD7C</v>
      </c>
    </row>
    <row r="100" spans="2:4" x14ac:dyDescent="0.25">
      <c r="B100" s="48" t="s">
        <v>540</v>
      </c>
      <c r="C100" t="s">
        <v>528</v>
      </c>
      <c r="D100" t="str">
        <f>LEFT(Tabel35[[#This Row],[Warehouse]],4)</f>
        <v>ZD7D</v>
      </c>
    </row>
    <row r="101" spans="2:4" x14ac:dyDescent="0.25">
      <c r="B101" s="49" t="s">
        <v>539</v>
      </c>
      <c r="C101" t="s">
        <v>538</v>
      </c>
      <c r="D101" t="str">
        <f>LEFT(Tabel35[[#This Row],[Warehouse]],4)</f>
        <v>ZD7E</v>
      </c>
    </row>
    <row r="102" spans="2:4" x14ac:dyDescent="0.25">
      <c r="B102" s="48" t="s">
        <v>537</v>
      </c>
      <c r="C102" t="s">
        <v>528</v>
      </c>
      <c r="D102" t="str">
        <f>LEFT(Tabel35[[#This Row],[Warehouse]],4)</f>
        <v>ZD7F</v>
      </c>
    </row>
    <row r="103" spans="2:4" x14ac:dyDescent="0.25">
      <c r="B103" s="49" t="s">
        <v>536</v>
      </c>
      <c r="C103" t="s">
        <v>528</v>
      </c>
      <c r="D103" t="str">
        <f>LEFT(Tabel35[[#This Row],[Warehouse]],4)</f>
        <v>ZD7G</v>
      </c>
    </row>
    <row r="104" spans="2:4" x14ac:dyDescent="0.25">
      <c r="B104" s="48" t="s">
        <v>535</v>
      </c>
      <c r="C104" t="s">
        <v>528</v>
      </c>
      <c r="D104" t="str">
        <f>LEFT(Tabel35[[#This Row],[Warehouse]],4)</f>
        <v>ZD7H</v>
      </c>
    </row>
    <row r="105" spans="2:4" x14ac:dyDescent="0.25">
      <c r="B105" s="49" t="s">
        <v>534</v>
      </c>
      <c r="C105" t="s">
        <v>528</v>
      </c>
      <c r="D105" t="str">
        <f>LEFT(Tabel35[[#This Row],[Warehouse]],4)</f>
        <v>ZD7I</v>
      </c>
    </row>
    <row r="106" spans="2:4" x14ac:dyDescent="0.25">
      <c r="B106" s="48" t="s">
        <v>533</v>
      </c>
      <c r="C106" t="s">
        <v>528</v>
      </c>
      <c r="D106" t="str">
        <f>LEFT(Tabel35[[#This Row],[Warehouse]],4)</f>
        <v>ZD7J</v>
      </c>
    </row>
    <row r="107" spans="2:4" x14ac:dyDescent="0.25">
      <c r="B107" s="49" t="s">
        <v>532</v>
      </c>
      <c r="C107" t="s">
        <v>528</v>
      </c>
      <c r="D107" t="str">
        <f>LEFT(Tabel35[[#This Row],[Warehouse]],4)</f>
        <v>ZD7L</v>
      </c>
    </row>
    <row r="108" spans="2:4" x14ac:dyDescent="0.25">
      <c r="B108" s="48" t="s">
        <v>531</v>
      </c>
      <c r="C108" t="s">
        <v>528</v>
      </c>
      <c r="D108" t="str">
        <f>LEFT(Tabel35[[#This Row],[Warehouse]],4)</f>
        <v>ZD7M</v>
      </c>
    </row>
    <row r="109" spans="2:4" x14ac:dyDescent="0.25">
      <c r="B109" s="49" t="s">
        <v>530</v>
      </c>
      <c r="C109" t="s">
        <v>528</v>
      </c>
      <c r="D109" t="str">
        <f>LEFT(Tabel35[[#This Row],[Warehouse]],4)</f>
        <v>ZD7N</v>
      </c>
    </row>
    <row r="110" spans="2:4" x14ac:dyDescent="0.25">
      <c r="B110" s="48" t="s">
        <v>529</v>
      </c>
      <c r="C110" t="s">
        <v>528</v>
      </c>
      <c r="D110" t="str">
        <f>LEFT(Tabel35[[#This Row],[Warehouse]],4)</f>
        <v>ZD7O</v>
      </c>
    </row>
    <row r="111" spans="2:4" x14ac:dyDescent="0.25">
      <c r="B111" s="49" t="s">
        <v>527</v>
      </c>
      <c r="C111" t="s">
        <v>522</v>
      </c>
      <c r="D111" t="str">
        <f>LEFT(Tabel35[[#This Row],[Warehouse]],4)</f>
        <v>ZD8A</v>
      </c>
    </row>
    <row r="112" spans="2:4" x14ac:dyDescent="0.25">
      <c r="B112" s="48" t="s">
        <v>526</v>
      </c>
      <c r="C112" t="s">
        <v>522</v>
      </c>
      <c r="D112" t="str">
        <f>LEFT(Tabel35[[#This Row],[Warehouse]],4)</f>
        <v>ZD8B</v>
      </c>
    </row>
    <row r="113" spans="2:4" x14ac:dyDescent="0.25">
      <c r="B113" s="49" t="s">
        <v>525</v>
      </c>
      <c r="C113" t="s">
        <v>522</v>
      </c>
      <c r="D113" t="str">
        <f>LEFT(Tabel35[[#This Row],[Warehouse]],4)</f>
        <v>ZD8C</v>
      </c>
    </row>
    <row r="114" spans="2:4" x14ac:dyDescent="0.25">
      <c r="B114" s="48" t="s">
        <v>524</v>
      </c>
      <c r="C114" t="s">
        <v>522</v>
      </c>
      <c r="D114" t="str">
        <f>LEFT(Tabel35[[#This Row],[Warehouse]],4)</f>
        <v>ZD8D</v>
      </c>
    </row>
    <row r="115" spans="2:4" x14ac:dyDescent="0.25">
      <c r="B115" s="49" t="s">
        <v>523</v>
      </c>
      <c r="C115" t="s">
        <v>522</v>
      </c>
      <c r="D115" t="str">
        <f>LEFT(Tabel35[[#This Row],[Warehouse]],4)</f>
        <v>ZD8E</v>
      </c>
    </row>
    <row r="116" spans="2:4" x14ac:dyDescent="0.25">
      <c r="B116" s="48" t="s">
        <v>521</v>
      </c>
      <c r="C116" t="s">
        <v>512</v>
      </c>
      <c r="D116" t="str">
        <f>LEFT(Tabel35[[#This Row],[Warehouse]],4)</f>
        <v>ZD9A</v>
      </c>
    </row>
    <row r="117" spans="2:4" x14ac:dyDescent="0.25">
      <c r="B117" s="49" t="s">
        <v>520</v>
      </c>
      <c r="C117" t="s">
        <v>512</v>
      </c>
      <c r="D117" t="str">
        <f>LEFT(Tabel35[[#This Row],[Warehouse]],4)</f>
        <v>ZD9B</v>
      </c>
    </row>
    <row r="118" spans="2:4" x14ac:dyDescent="0.25">
      <c r="B118" s="48" t="s">
        <v>519</v>
      </c>
      <c r="C118" t="s">
        <v>512</v>
      </c>
      <c r="D118" t="str">
        <f>LEFT(Tabel35[[#This Row],[Warehouse]],4)</f>
        <v>ZD9C</v>
      </c>
    </row>
    <row r="119" spans="2:4" x14ac:dyDescent="0.25">
      <c r="B119" s="49" t="s">
        <v>518</v>
      </c>
      <c r="C119" t="s">
        <v>512</v>
      </c>
      <c r="D119" t="str">
        <f>LEFT(Tabel35[[#This Row],[Warehouse]],4)</f>
        <v>ZD9D</v>
      </c>
    </row>
    <row r="120" spans="2:4" x14ac:dyDescent="0.25">
      <c r="B120" s="48" t="s">
        <v>517</v>
      </c>
      <c r="C120" t="s">
        <v>512</v>
      </c>
      <c r="D120" t="str">
        <f>LEFT(Tabel35[[#This Row],[Warehouse]],4)</f>
        <v>ZD9E</v>
      </c>
    </row>
    <row r="121" spans="2:4" x14ac:dyDescent="0.25">
      <c r="B121" s="49" t="s">
        <v>516</v>
      </c>
      <c r="C121" t="s">
        <v>512</v>
      </c>
      <c r="D121" t="str">
        <f>LEFT(Tabel35[[#This Row],[Warehouse]],4)</f>
        <v>ZD9F</v>
      </c>
    </row>
    <row r="122" spans="2:4" x14ac:dyDescent="0.25">
      <c r="B122" s="48" t="s">
        <v>515</v>
      </c>
      <c r="C122" t="s">
        <v>512</v>
      </c>
      <c r="D122" t="str">
        <f>LEFT(Tabel35[[#This Row],[Warehouse]],4)</f>
        <v>ZD9H</v>
      </c>
    </row>
    <row r="123" spans="2:4" x14ac:dyDescent="0.25">
      <c r="B123" s="49" t="s">
        <v>514</v>
      </c>
      <c r="C123" t="s">
        <v>512</v>
      </c>
      <c r="D123" t="str">
        <f>LEFT(Tabel35[[#This Row],[Warehouse]],4)</f>
        <v>ZD9I</v>
      </c>
    </row>
    <row r="124" spans="2:4" x14ac:dyDescent="0.25">
      <c r="B124" s="48" t="s">
        <v>513</v>
      </c>
      <c r="C124" t="s">
        <v>512</v>
      </c>
      <c r="D124" t="str">
        <f>LEFT(Tabel35[[#This Row],[Warehouse]],4)</f>
        <v>ZD9J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8D86-BCFA-4A5B-BCDD-FB25A315DAF6}">
  <sheetPr codeName="Lembar3"/>
  <dimension ref="A1:S18"/>
  <sheetViews>
    <sheetView workbookViewId="0">
      <selection activeCell="H16" sqref="H16"/>
    </sheetView>
  </sheetViews>
  <sheetFormatPr defaultRowHeight="12.75" x14ac:dyDescent="0.25"/>
  <cols>
    <col min="1" max="1" width="7" style="34" bestFit="1" customWidth="1"/>
    <col min="2" max="2" width="15" style="35" bestFit="1" customWidth="1"/>
    <col min="3" max="3" width="6" style="35" bestFit="1" customWidth="1"/>
    <col min="4" max="4" width="11" style="35" bestFit="1" customWidth="1"/>
    <col min="5" max="5" width="19" style="35" bestFit="1" customWidth="1"/>
    <col min="6" max="6" width="22" style="35" bestFit="1" customWidth="1"/>
    <col min="7" max="7" width="5" style="35" bestFit="1" customWidth="1"/>
    <col min="8" max="8" width="20" style="35" bestFit="1" customWidth="1"/>
    <col min="9" max="9" width="13" style="35" bestFit="1" customWidth="1"/>
    <col min="10" max="10" width="22" style="34" bestFit="1" customWidth="1"/>
    <col min="11" max="11" width="27.42578125" style="34" customWidth="1"/>
    <col min="12" max="12" width="13.5703125" style="40" customWidth="1"/>
    <col min="13" max="13" width="5" style="34" bestFit="1" customWidth="1"/>
    <col min="14" max="14" width="12" style="35" bestFit="1" customWidth="1"/>
    <col min="15" max="15" width="11" style="35" bestFit="1" customWidth="1"/>
    <col min="16" max="16" width="15" style="35" bestFit="1" customWidth="1"/>
    <col min="17" max="17" width="15.28515625" style="40" customWidth="1"/>
    <col min="18" max="18" width="16" style="35" bestFit="1" customWidth="1"/>
    <col min="19" max="19" width="15" style="35" bestFit="1" customWidth="1"/>
    <col min="20" max="16384" width="9.140625" style="19"/>
  </cols>
  <sheetData>
    <row r="1" spans="1:19" ht="51" x14ac:dyDescent="0.25">
      <c r="A1" s="30" t="s">
        <v>380</v>
      </c>
      <c r="B1" s="31" t="s">
        <v>443</v>
      </c>
      <c r="C1" s="32" t="s">
        <v>442</v>
      </c>
      <c r="D1" s="31" t="s">
        <v>441</v>
      </c>
      <c r="E1" s="31" t="s">
        <v>381</v>
      </c>
      <c r="F1" s="31" t="s">
        <v>440</v>
      </c>
      <c r="G1" s="32" t="s">
        <v>439</v>
      </c>
      <c r="H1" s="31" t="s">
        <v>438</v>
      </c>
      <c r="I1" s="31" t="s">
        <v>437</v>
      </c>
      <c r="J1" s="30" t="s">
        <v>436</v>
      </c>
      <c r="K1" s="30" t="s">
        <v>382</v>
      </c>
      <c r="L1" s="54" t="s">
        <v>435</v>
      </c>
      <c r="M1" s="33" t="s">
        <v>434</v>
      </c>
      <c r="N1" s="31" t="s">
        <v>433</v>
      </c>
      <c r="O1" s="31" t="s">
        <v>432</v>
      </c>
      <c r="P1" s="31" t="s">
        <v>431</v>
      </c>
      <c r="Q1" s="41" t="s">
        <v>430</v>
      </c>
      <c r="R1" s="31" t="s">
        <v>429</v>
      </c>
      <c r="S1" s="31" t="s">
        <v>428</v>
      </c>
    </row>
    <row r="2" spans="1:19" x14ac:dyDescent="0.25">
      <c r="A2" s="34" t="s">
        <v>116</v>
      </c>
      <c r="B2" s="35" t="s">
        <v>396</v>
      </c>
      <c r="C2" s="35" t="s">
        <v>395</v>
      </c>
      <c r="D2" s="35" t="s">
        <v>386</v>
      </c>
      <c r="E2" s="35" t="s">
        <v>394</v>
      </c>
      <c r="F2" s="35" t="s">
        <v>386</v>
      </c>
      <c r="G2" s="35" t="s">
        <v>393</v>
      </c>
      <c r="H2" s="35" t="s">
        <v>392</v>
      </c>
      <c r="I2" s="35" t="s">
        <v>427</v>
      </c>
      <c r="J2" s="34" t="s">
        <v>426</v>
      </c>
      <c r="K2" s="43">
        <v>44505</v>
      </c>
      <c r="L2" s="38">
        <v>-17</v>
      </c>
      <c r="M2" s="34" t="s">
        <v>389</v>
      </c>
      <c r="N2" s="35" t="s">
        <v>400</v>
      </c>
      <c r="O2" s="35" t="s">
        <v>387</v>
      </c>
      <c r="P2" s="36">
        <v>44505</v>
      </c>
      <c r="Q2" s="39">
        <v>-0.20399999999999999</v>
      </c>
      <c r="R2" s="35" t="s">
        <v>386</v>
      </c>
      <c r="S2" s="37">
        <v>7.0347222222219993E-2</v>
      </c>
    </row>
    <row r="3" spans="1:19" x14ac:dyDescent="0.25">
      <c r="A3" s="34" t="s">
        <v>116</v>
      </c>
      <c r="B3" s="35" t="s">
        <v>396</v>
      </c>
      <c r="C3" s="35" t="s">
        <v>395</v>
      </c>
      <c r="D3" s="35" t="s">
        <v>386</v>
      </c>
      <c r="E3" s="35" t="s">
        <v>394</v>
      </c>
      <c r="F3" s="35" t="s">
        <v>386</v>
      </c>
      <c r="G3" s="35" t="s">
        <v>393</v>
      </c>
      <c r="H3" s="35" t="s">
        <v>392</v>
      </c>
      <c r="I3" s="35" t="s">
        <v>425</v>
      </c>
      <c r="J3" s="34" t="s">
        <v>424</v>
      </c>
      <c r="K3" s="43">
        <v>44505</v>
      </c>
      <c r="L3" s="39">
        <v>-0.25600000000000001</v>
      </c>
      <c r="M3" s="34" t="s">
        <v>404</v>
      </c>
      <c r="N3" s="35" t="s">
        <v>413</v>
      </c>
      <c r="O3" s="35" t="s">
        <v>387</v>
      </c>
      <c r="P3" s="36">
        <v>44505</v>
      </c>
      <c r="Q3" s="39">
        <v>-0.25600000000000001</v>
      </c>
      <c r="R3" s="35" t="s">
        <v>386</v>
      </c>
      <c r="S3" s="37">
        <v>7.0347222222219993E-2</v>
      </c>
    </row>
    <row r="4" spans="1:19" x14ac:dyDescent="0.25">
      <c r="A4" s="34" t="s">
        <v>116</v>
      </c>
      <c r="B4" s="35" t="s">
        <v>396</v>
      </c>
      <c r="C4" s="35" t="s">
        <v>395</v>
      </c>
      <c r="D4" s="35" t="s">
        <v>386</v>
      </c>
      <c r="E4" s="35" t="s">
        <v>394</v>
      </c>
      <c r="F4" s="35" t="s">
        <v>386</v>
      </c>
      <c r="G4" s="35" t="s">
        <v>393</v>
      </c>
      <c r="H4" s="35" t="s">
        <v>392</v>
      </c>
      <c r="I4" s="35" t="s">
        <v>423</v>
      </c>
      <c r="J4" s="34" t="s">
        <v>422</v>
      </c>
      <c r="K4" s="43">
        <v>44505</v>
      </c>
      <c r="L4" s="38">
        <v>-32</v>
      </c>
      <c r="M4" s="34" t="s">
        <v>389</v>
      </c>
      <c r="N4" s="35" t="s">
        <v>413</v>
      </c>
      <c r="O4" s="35" t="s">
        <v>387</v>
      </c>
      <c r="P4" s="36">
        <v>44505</v>
      </c>
      <c r="Q4" s="39">
        <v>-0.38400000000000001</v>
      </c>
      <c r="R4" s="35" t="s">
        <v>386</v>
      </c>
      <c r="S4" s="37">
        <v>7.0347222222219993E-2</v>
      </c>
    </row>
    <row r="5" spans="1:19" x14ac:dyDescent="0.25">
      <c r="A5" s="34" t="s">
        <v>116</v>
      </c>
      <c r="B5" s="35" t="s">
        <v>396</v>
      </c>
      <c r="C5" s="35" t="s">
        <v>395</v>
      </c>
      <c r="D5" s="35" t="s">
        <v>386</v>
      </c>
      <c r="E5" s="35" t="s">
        <v>394</v>
      </c>
      <c r="F5" s="35" t="s">
        <v>386</v>
      </c>
      <c r="G5" s="35" t="s">
        <v>393</v>
      </c>
      <c r="H5" s="35" t="s">
        <v>392</v>
      </c>
      <c r="I5" s="35" t="s">
        <v>421</v>
      </c>
      <c r="J5" s="34" t="s">
        <v>420</v>
      </c>
      <c r="K5" s="43">
        <v>44505</v>
      </c>
      <c r="L5" s="39">
        <v>-0.18</v>
      </c>
      <c r="M5" s="34" t="s">
        <v>404</v>
      </c>
      <c r="N5" s="35" t="s">
        <v>403</v>
      </c>
      <c r="O5" s="35" t="s">
        <v>387</v>
      </c>
      <c r="P5" s="36">
        <v>44505</v>
      </c>
      <c r="Q5" s="39">
        <v>-0.18</v>
      </c>
      <c r="R5" s="35" t="s">
        <v>386</v>
      </c>
      <c r="S5" s="37">
        <v>7.0347222222219993E-2</v>
      </c>
    </row>
    <row r="6" spans="1:19" x14ac:dyDescent="0.25">
      <c r="A6" s="34" t="s">
        <v>116</v>
      </c>
      <c r="B6" s="35" t="s">
        <v>396</v>
      </c>
      <c r="C6" s="35" t="s">
        <v>395</v>
      </c>
      <c r="D6" s="35" t="s">
        <v>386</v>
      </c>
      <c r="E6" s="35" t="s">
        <v>394</v>
      </c>
      <c r="F6" s="35" t="s">
        <v>386</v>
      </c>
      <c r="G6" s="35" t="s">
        <v>393</v>
      </c>
      <c r="H6" s="35" t="s">
        <v>392</v>
      </c>
      <c r="I6" s="35" t="s">
        <v>419</v>
      </c>
      <c r="J6" s="34" t="s">
        <v>418</v>
      </c>
      <c r="K6" s="43">
        <v>44505</v>
      </c>
      <c r="L6" s="39">
        <v>-0.78</v>
      </c>
      <c r="M6" s="34" t="s">
        <v>404</v>
      </c>
      <c r="N6" s="35" t="s">
        <v>403</v>
      </c>
      <c r="O6" s="35" t="s">
        <v>387</v>
      </c>
      <c r="P6" s="36">
        <v>44505</v>
      </c>
      <c r="Q6" s="39">
        <v>-0.78</v>
      </c>
      <c r="R6" s="35" t="s">
        <v>386</v>
      </c>
      <c r="S6" s="37">
        <v>7.0347222222219993E-2</v>
      </c>
    </row>
    <row r="7" spans="1:19" x14ac:dyDescent="0.25">
      <c r="A7" s="34" t="s">
        <v>116</v>
      </c>
      <c r="B7" s="35" t="s">
        <v>396</v>
      </c>
      <c r="C7" s="35" t="s">
        <v>395</v>
      </c>
      <c r="D7" s="35" t="s">
        <v>386</v>
      </c>
      <c r="E7" s="35" t="s">
        <v>394</v>
      </c>
      <c r="F7" s="35" t="s">
        <v>386</v>
      </c>
      <c r="G7" s="35" t="s">
        <v>393</v>
      </c>
      <c r="H7" s="35" t="s">
        <v>392</v>
      </c>
      <c r="I7" s="35" t="s">
        <v>417</v>
      </c>
      <c r="J7" s="34" t="s">
        <v>416</v>
      </c>
      <c r="K7" s="43">
        <v>44505</v>
      </c>
      <c r="L7" s="39">
        <v>-0.4</v>
      </c>
      <c r="M7" s="34" t="s">
        <v>404</v>
      </c>
      <c r="N7" s="35" t="s">
        <v>407</v>
      </c>
      <c r="O7" s="35" t="s">
        <v>387</v>
      </c>
      <c r="P7" s="36">
        <v>44505</v>
      </c>
      <c r="Q7" s="39">
        <v>-0.4</v>
      </c>
      <c r="R7" s="35" t="s">
        <v>386</v>
      </c>
      <c r="S7" s="37">
        <v>7.0347222222219993E-2</v>
      </c>
    </row>
    <row r="8" spans="1:19" x14ac:dyDescent="0.25">
      <c r="A8" s="34" t="s">
        <v>116</v>
      </c>
      <c r="B8" s="35" t="s">
        <v>396</v>
      </c>
      <c r="C8" s="35" t="s">
        <v>395</v>
      </c>
      <c r="D8" s="35" t="s">
        <v>386</v>
      </c>
      <c r="E8" s="35" t="s">
        <v>394</v>
      </c>
      <c r="F8" s="35" t="s">
        <v>386</v>
      </c>
      <c r="G8" s="35" t="s">
        <v>393</v>
      </c>
      <c r="H8" s="35" t="s">
        <v>392</v>
      </c>
      <c r="I8" s="35" t="s">
        <v>415</v>
      </c>
      <c r="J8" s="34" t="s">
        <v>414</v>
      </c>
      <c r="K8" s="43">
        <v>44505</v>
      </c>
      <c r="L8" s="39">
        <v>-0.14399999999999999</v>
      </c>
      <c r="M8" s="34" t="s">
        <v>404</v>
      </c>
      <c r="N8" s="35" t="s">
        <v>413</v>
      </c>
      <c r="O8" s="35" t="s">
        <v>387</v>
      </c>
      <c r="P8" s="36">
        <v>44505</v>
      </c>
      <c r="Q8" s="39">
        <v>-0.14399999999999999</v>
      </c>
      <c r="R8" s="35" t="s">
        <v>386</v>
      </c>
      <c r="S8" s="37">
        <v>7.0347222222219993E-2</v>
      </c>
    </row>
    <row r="9" spans="1:19" x14ac:dyDescent="0.25">
      <c r="A9" s="34" t="s">
        <v>116</v>
      </c>
      <c r="B9" s="35" t="s">
        <v>396</v>
      </c>
      <c r="C9" s="35" t="s">
        <v>395</v>
      </c>
      <c r="D9" s="35" t="s">
        <v>386</v>
      </c>
      <c r="E9" s="35" t="s">
        <v>394</v>
      </c>
      <c r="F9" s="35" t="s">
        <v>386</v>
      </c>
      <c r="G9" s="35" t="s">
        <v>393</v>
      </c>
      <c r="H9" s="35" t="s">
        <v>392</v>
      </c>
      <c r="I9" s="35" t="s">
        <v>412</v>
      </c>
      <c r="J9" s="34" t="s">
        <v>411</v>
      </c>
      <c r="K9" s="43">
        <v>44505</v>
      </c>
      <c r="L9" s="39">
        <v>-0.32</v>
      </c>
      <c r="M9" s="34" t="s">
        <v>404</v>
      </c>
      <c r="N9" s="35" t="s">
        <v>410</v>
      </c>
      <c r="O9" s="35" t="s">
        <v>387</v>
      </c>
      <c r="P9" s="36">
        <v>44505</v>
      </c>
      <c r="Q9" s="39">
        <v>-0.32</v>
      </c>
      <c r="R9" s="35" t="s">
        <v>386</v>
      </c>
      <c r="S9" s="37">
        <v>7.0347222222219993E-2</v>
      </c>
    </row>
    <row r="10" spans="1:19" x14ac:dyDescent="0.25">
      <c r="A10" s="34" t="s">
        <v>116</v>
      </c>
      <c r="B10" s="35" t="s">
        <v>396</v>
      </c>
      <c r="C10" s="35" t="s">
        <v>395</v>
      </c>
      <c r="D10" s="35" t="s">
        <v>386</v>
      </c>
      <c r="E10" s="35" t="s">
        <v>394</v>
      </c>
      <c r="F10" s="35" t="s">
        <v>386</v>
      </c>
      <c r="G10" s="35" t="s">
        <v>393</v>
      </c>
      <c r="H10" s="35" t="s">
        <v>392</v>
      </c>
      <c r="I10" s="35" t="s">
        <v>409</v>
      </c>
      <c r="J10" s="34" t="s">
        <v>408</v>
      </c>
      <c r="K10" s="43">
        <v>44505</v>
      </c>
      <c r="L10" s="39">
        <v>-0.46</v>
      </c>
      <c r="M10" s="34" t="s">
        <v>404</v>
      </c>
      <c r="N10" s="35" t="s">
        <v>407</v>
      </c>
      <c r="O10" s="35" t="s">
        <v>387</v>
      </c>
      <c r="P10" s="36">
        <v>44505</v>
      </c>
      <c r="Q10" s="39">
        <v>-0.46</v>
      </c>
      <c r="R10" s="35" t="s">
        <v>386</v>
      </c>
      <c r="S10" s="37">
        <v>7.0347222222219993E-2</v>
      </c>
    </row>
    <row r="11" spans="1:19" x14ac:dyDescent="0.25">
      <c r="A11" s="34" t="s">
        <v>116</v>
      </c>
      <c r="B11" s="35" t="s">
        <v>396</v>
      </c>
      <c r="C11" s="35" t="s">
        <v>395</v>
      </c>
      <c r="D11" s="35" t="s">
        <v>386</v>
      </c>
      <c r="E11" s="35" t="s">
        <v>394</v>
      </c>
      <c r="F11" s="35" t="s">
        <v>386</v>
      </c>
      <c r="G11" s="35" t="s">
        <v>393</v>
      </c>
      <c r="H11" s="35" t="s">
        <v>392</v>
      </c>
      <c r="I11" s="35" t="s">
        <v>406</v>
      </c>
      <c r="J11" s="34" t="s">
        <v>405</v>
      </c>
      <c r="K11" s="43">
        <v>44505</v>
      </c>
      <c r="L11" s="39">
        <v>-0.108</v>
      </c>
      <c r="M11" s="34" t="s">
        <v>404</v>
      </c>
      <c r="N11" s="35" t="s">
        <v>403</v>
      </c>
      <c r="O11" s="35" t="s">
        <v>387</v>
      </c>
      <c r="P11" s="36">
        <v>44505</v>
      </c>
      <c r="Q11" s="39">
        <v>-0.108</v>
      </c>
      <c r="R11" s="35" t="s">
        <v>386</v>
      </c>
      <c r="S11" s="37">
        <v>7.0347222222219993E-2</v>
      </c>
    </row>
    <row r="12" spans="1:19" x14ac:dyDescent="0.25">
      <c r="A12" s="34" t="s">
        <v>116</v>
      </c>
      <c r="B12" s="35" t="s">
        <v>396</v>
      </c>
      <c r="C12" s="35" t="s">
        <v>395</v>
      </c>
      <c r="D12" s="35" t="s">
        <v>386</v>
      </c>
      <c r="E12" s="35" t="s">
        <v>394</v>
      </c>
      <c r="F12" s="35" t="s">
        <v>386</v>
      </c>
      <c r="G12" s="35" t="s">
        <v>393</v>
      </c>
      <c r="H12" s="35" t="s">
        <v>392</v>
      </c>
      <c r="I12" s="35" t="s">
        <v>402</v>
      </c>
      <c r="J12" s="34" t="s">
        <v>401</v>
      </c>
      <c r="K12" s="43">
        <v>44505</v>
      </c>
      <c r="L12" s="38">
        <v>-17</v>
      </c>
      <c r="M12" s="34" t="s">
        <v>389</v>
      </c>
      <c r="N12" s="35" t="s">
        <v>400</v>
      </c>
      <c r="O12" s="35" t="s">
        <v>387</v>
      </c>
      <c r="P12" s="36">
        <v>44505</v>
      </c>
      <c r="Q12" s="39">
        <v>-0.20399999999999999</v>
      </c>
      <c r="R12" s="35" t="s">
        <v>386</v>
      </c>
      <c r="S12" s="37">
        <v>7.0347222222219993E-2</v>
      </c>
    </row>
    <row r="13" spans="1:19" x14ac:dyDescent="0.25">
      <c r="A13" s="34" t="s">
        <v>116</v>
      </c>
      <c r="B13" s="35" t="s">
        <v>396</v>
      </c>
      <c r="C13" s="35" t="s">
        <v>395</v>
      </c>
      <c r="D13" s="35" t="s">
        <v>386</v>
      </c>
      <c r="E13" s="35" t="s">
        <v>394</v>
      </c>
      <c r="F13" s="35" t="s">
        <v>386</v>
      </c>
      <c r="G13" s="35" t="s">
        <v>393</v>
      </c>
      <c r="H13" s="35" t="s">
        <v>392</v>
      </c>
      <c r="I13" s="35" t="s">
        <v>399</v>
      </c>
      <c r="J13" s="34" t="s">
        <v>398</v>
      </c>
      <c r="K13" s="43">
        <v>44505</v>
      </c>
      <c r="L13" s="38">
        <v>-5</v>
      </c>
      <c r="M13" s="34" t="s">
        <v>389</v>
      </c>
      <c r="N13" s="35" t="s">
        <v>397</v>
      </c>
      <c r="O13" s="35" t="s">
        <v>387</v>
      </c>
      <c r="P13" s="36">
        <v>44505</v>
      </c>
      <c r="Q13" s="39">
        <v>-0.06</v>
      </c>
      <c r="R13" s="35" t="s">
        <v>386</v>
      </c>
      <c r="S13" s="37">
        <v>7.0347222222219993E-2</v>
      </c>
    </row>
    <row r="14" spans="1:19" x14ac:dyDescent="0.25">
      <c r="A14" s="34" t="s">
        <v>116</v>
      </c>
      <c r="B14" s="35" t="s">
        <v>396</v>
      </c>
      <c r="C14" s="35" t="s">
        <v>395</v>
      </c>
      <c r="D14" s="35" t="s">
        <v>386</v>
      </c>
      <c r="E14" s="35" t="s">
        <v>394</v>
      </c>
      <c r="F14" s="35" t="s">
        <v>386</v>
      </c>
      <c r="G14" s="35" t="s">
        <v>393</v>
      </c>
      <c r="H14" s="35" t="s">
        <v>392</v>
      </c>
      <c r="I14" s="35" t="s">
        <v>391</v>
      </c>
      <c r="J14" s="34" t="s">
        <v>390</v>
      </c>
      <c r="K14" s="43">
        <v>44505</v>
      </c>
      <c r="L14" s="38">
        <v>-12</v>
      </c>
      <c r="M14" s="34" t="s">
        <v>389</v>
      </c>
      <c r="N14" s="35" t="s">
        <v>388</v>
      </c>
      <c r="O14" s="35" t="s">
        <v>387</v>
      </c>
      <c r="P14" s="36">
        <v>44505</v>
      </c>
      <c r="Q14" s="39">
        <v>-0.192</v>
      </c>
      <c r="R14" s="35" t="s">
        <v>386</v>
      </c>
      <c r="S14" s="37">
        <v>7.0347222222219993E-2</v>
      </c>
    </row>
    <row r="16" spans="1:19" ht="25.5" x14ac:dyDescent="0.25">
      <c r="K16" s="44" t="s">
        <v>509</v>
      </c>
      <c r="L16" s="40" t="s">
        <v>508</v>
      </c>
      <c r="Q16" s="40" t="s">
        <v>507</v>
      </c>
    </row>
    <row r="18" spans="12:17" x14ac:dyDescent="0.25">
      <c r="L18" s="42">
        <f>SUM(L2,L4,L12,L13,L14)</f>
        <v>-83</v>
      </c>
      <c r="Q18" s="40">
        <f>SUM((Q3*1000)/16)</f>
        <v>-16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Lembar5"/>
  <dimension ref="B4:D123"/>
  <sheetViews>
    <sheetView workbookViewId="0">
      <selection activeCell="G12" sqref="G12"/>
    </sheetView>
  </sheetViews>
  <sheetFormatPr defaultRowHeight="15" x14ac:dyDescent="0.25"/>
  <cols>
    <col min="2" max="2" width="12.5703125" bestFit="1" customWidth="1"/>
    <col min="3" max="3" width="28.85546875" bestFit="1" customWidth="1"/>
    <col min="4" max="4" width="34.7109375" bestFit="1" customWidth="1"/>
    <col min="5" max="5" width="13.85546875" customWidth="1"/>
  </cols>
  <sheetData>
    <row r="4" spans="2:4" x14ac:dyDescent="0.25">
      <c r="B4" t="s">
        <v>6</v>
      </c>
      <c r="C4" t="s">
        <v>7</v>
      </c>
      <c r="D4" t="s">
        <v>250</v>
      </c>
    </row>
    <row r="5" spans="2:4" x14ac:dyDescent="0.25">
      <c r="B5" t="s">
        <v>8</v>
      </c>
      <c r="C5" t="s">
        <v>9</v>
      </c>
      <c r="D5" t="s">
        <v>251</v>
      </c>
    </row>
    <row r="6" spans="2:4" x14ac:dyDescent="0.25">
      <c r="B6" t="s">
        <v>10</v>
      </c>
      <c r="C6" t="s">
        <v>11</v>
      </c>
      <c r="D6" t="s">
        <v>252</v>
      </c>
    </row>
    <row r="7" spans="2:4" x14ac:dyDescent="0.25">
      <c r="B7" t="s">
        <v>12</v>
      </c>
      <c r="C7" t="s">
        <v>13</v>
      </c>
      <c r="D7" t="s">
        <v>253</v>
      </c>
    </row>
    <row r="8" spans="2:4" x14ac:dyDescent="0.25">
      <c r="B8" t="s">
        <v>14</v>
      </c>
      <c r="C8" t="s">
        <v>15</v>
      </c>
      <c r="D8" t="s">
        <v>254</v>
      </c>
    </row>
    <row r="9" spans="2:4" x14ac:dyDescent="0.25">
      <c r="B9" t="s">
        <v>16</v>
      </c>
      <c r="C9" t="s">
        <v>17</v>
      </c>
      <c r="D9" t="s">
        <v>246</v>
      </c>
    </row>
    <row r="10" spans="2:4" x14ac:dyDescent="0.25">
      <c r="B10" t="s">
        <v>18</v>
      </c>
      <c r="C10" t="s">
        <v>19</v>
      </c>
      <c r="D10" t="s">
        <v>244</v>
      </c>
    </row>
    <row r="11" spans="2:4" x14ac:dyDescent="0.25">
      <c r="B11" t="s">
        <v>20</v>
      </c>
      <c r="C11" t="s">
        <v>21</v>
      </c>
      <c r="D11" t="s">
        <v>255</v>
      </c>
    </row>
    <row r="12" spans="2:4" x14ac:dyDescent="0.25">
      <c r="B12" t="s">
        <v>22</v>
      </c>
      <c r="C12" t="s">
        <v>23</v>
      </c>
      <c r="D12" t="s">
        <v>245</v>
      </c>
    </row>
    <row r="13" spans="2:4" x14ac:dyDescent="0.25">
      <c r="B13" t="s">
        <v>24</v>
      </c>
      <c r="C13" t="s">
        <v>25</v>
      </c>
      <c r="D13" t="s">
        <v>358</v>
      </c>
    </row>
    <row r="14" spans="2:4" x14ac:dyDescent="0.25">
      <c r="B14" t="s">
        <v>26</v>
      </c>
      <c r="C14" t="s">
        <v>27</v>
      </c>
      <c r="D14" t="s">
        <v>256</v>
      </c>
    </row>
    <row r="15" spans="2:4" x14ac:dyDescent="0.25">
      <c r="B15" t="s">
        <v>28</v>
      </c>
      <c r="C15" t="s">
        <v>29</v>
      </c>
      <c r="D15" t="s">
        <v>247</v>
      </c>
    </row>
    <row r="16" spans="2:4" x14ac:dyDescent="0.25">
      <c r="B16" t="s">
        <v>30</v>
      </c>
      <c r="C16" t="s">
        <v>31</v>
      </c>
      <c r="D16" t="s">
        <v>359</v>
      </c>
    </row>
    <row r="17" spans="2:4" x14ac:dyDescent="0.25">
      <c r="B17" t="s">
        <v>32</v>
      </c>
      <c r="C17" t="s">
        <v>33</v>
      </c>
      <c r="D17" t="s">
        <v>249</v>
      </c>
    </row>
    <row r="18" spans="2:4" x14ac:dyDescent="0.25">
      <c r="B18" t="s">
        <v>34</v>
      </c>
      <c r="C18" t="s">
        <v>35</v>
      </c>
      <c r="D18" t="s">
        <v>257</v>
      </c>
    </row>
    <row r="19" spans="2:4" x14ac:dyDescent="0.25">
      <c r="B19" t="s">
        <v>36</v>
      </c>
      <c r="C19" t="s">
        <v>37</v>
      </c>
      <c r="D19" t="s">
        <v>258</v>
      </c>
    </row>
    <row r="20" spans="2:4" x14ac:dyDescent="0.25">
      <c r="B20" t="s">
        <v>38</v>
      </c>
      <c r="C20" t="s">
        <v>39</v>
      </c>
      <c r="D20" t="s">
        <v>259</v>
      </c>
    </row>
    <row r="21" spans="2:4" x14ac:dyDescent="0.25">
      <c r="B21" t="s">
        <v>40</v>
      </c>
      <c r="C21" t="s">
        <v>41</v>
      </c>
      <c r="D21" t="s">
        <v>260</v>
      </c>
    </row>
    <row r="22" spans="2:4" x14ac:dyDescent="0.25">
      <c r="B22" t="s">
        <v>42</v>
      </c>
      <c r="C22" t="s">
        <v>43</v>
      </c>
      <c r="D22" t="s">
        <v>261</v>
      </c>
    </row>
    <row r="23" spans="2:4" x14ac:dyDescent="0.25">
      <c r="B23" t="s">
        <v>44</v>
      </c>
      <c r="C23" t="s">
        <v>45</v>
      </c>
      <c r="D23" t="s">
        <v>262</v>
      </c>
    </row>
    <row r="24" spans="2:4" x14ac:dyDescent="0.25">
      <c r="B24" t="s">
        <v>46</v>
      </c>
      <c r="C24" t="s">
        <v>47</v>
      </c>
      <c r="D24" t="s">
        <v>263</v>
      </c>
    </row>
    <row r="25" spans="2:4" x14ac:dyDescent="0.25">
      <c r="B25" t="s">
        <v>48</v>
      </c>
      <c r="C25" t="s">
        <v>49</v>
      </c>
      <c r="D25" t="s">
        <v>264</v>
      </c>
    </row>
    <row r="26" spans="2:4" x14ac:dyDescent="0.25">
      <c r="B26" t="s">
        <v>50</v>
      </c>
      <c r="C26" t="s">
        <v>51</v>
      </c>
      <c r="D26" t="s">
        <v>265</v>
      </c>
    </row>
    <row r="27" spans="2:4" x14ac:dyDescent="0.25">
      <c r="B27" t="s">
        <v>52</v>
      </c>
      <c r="C27" t="s">
        <v>53</v>
      </c>
      <c r="D27" t="s">
        <v>266</v>
      </c>
    </row>
    <row r="28" spans="2:4" x14ac:dyDescent="0.25">
      <c r="B28" t="s">
        <v>54</v>
      </c>
      <c r="C28" t="s">
        <v>55</v>
      </c>
      <c r="D28" t="s">
        <v>267</v>
      </c>
    </row>
    <row r="29" spans="2:4" x14ac:dyDescent="0.25">
      <c r="B29" t="s">
        <v>56</v>
      </c>
      <c r="C29" t="s">
        <v>57</v>
      </c>
      <c r="D29" t="s">
        <v>268</v>
      </c>
    </row>
    <row r="30" spans="2:4" x14ac:dyDescent="0.25">
      <c r="B30" t="s">
        <v>58</v>
      </c>
      <c r="C30" t="s">
        <v>59</v>
      </c>
      <c r="D30" t="s">
        <v>269</v>
      </c>
    </row>
    <row r="31" spans="2:4" x14ac:dyDescent="0.25">
      <c r="B31" t="s">
        <v>60</v>
      </c>
      <c r="C31" t="s">
        <v>61</v>
      </c>
      <c r="D31" t="s">
        <v>270</v>
      </c>
    </row>
    <row r="32" spans="2:4" x14ac:dyDescent="0.25">
      <c r="B32" t="s">
        <v>62</v>
      </c>
      <c r="C32" t="s">
        <v>63</v>
      </c>
      <c r="D32" t="s">
        <v>271</v>
      </c>
    </row>
    <row r="33" spans="2:4" x14ac:dyDescent="0.25">
      <c r="B33" t="s">
        <v>64</v>
      </c>
      <c r="C33" t="s">
        <v>65</v>
      </c>
      <c r="D33" t="s">
        <v>272</v>
      </c>
    </row>
    <row r="34" spans="2:4" x14ac:dyDescent="0.25">
      <c r="B34" t="s">
        <v>66</v>
      </c>
      <c r="C34" t="s">
        <v>67</v>
      </c>
      <c r="D34" t="s">
        <v>273</v>
      </c>
    </row>
    <row r="35" spans="2:4" x14ac:dyDescent="0.25">
      <c r="B35" t="s">
        <v>68</v>
      </c>
      <c r="C35" t="s">
        <v>69</v>
      </c>
      <c r="D35" t="s">
        <v>274</v>
      </c>
    </row>
    <row r="36" spans="2:4" x14ac:dyDescent="0.25">
      <c r="B36" t="s">
        <v>70</v>
      </c>
      <c r="C36" t="s">
        <v>71</v>
      </c>
      <c r="D36" t="s">
        <v>275</v>
      </c>
    </row>
    <row r="37" spans="2:4" x14ac:dyDescent="0.25">
      <c r="B37" t="s">
        <v>72</v>
      </c>
      <c r="C37" t="s">
        <v>73</v>
      </c>
      <c r="D37" t="s">
        <v>276</v>
      </c>
    </row>
    <row r="38" spans="2:4" x14ac:dyDescent="0.25">
      <c r="B38" t="s">
        <v>74</v>
      </c>
      <c r="C38" t="s">
        <v>75</v>
      </c>
      <c r="D38" t="s">
        <v>360</v>
      </c>
    </row>
    <row r="39" spans="2:4" x14ac:dyDescent="0.25">
      <c r="B39" t="s">
        <v>76</v>
      </c>
      <c r="C39" t="s">
        <v>77</v>
      </c>
      <c r="D39" t="s">
        <v>361</v>
      </c>
    </row>
    <row r="40" spans="2:4" x14ac:dyDescent="0.25">
      <c r="B40" t="s">
        <v>78</v>
      </c>
      <c r="C40" t="s">
        <v>79</v>
      </c>
      <c r="D40" t="s">
        <v>277</v>
      </c>
    </row>
    <row r="41" spans="2:4" x14ac:dyDescent="0.25">
      <c r="B41" t="s">
        <v>80</v>
      </c>
      <c r="C41" t="s">
        <v>81</v>
      </c>
      <c r="D41" t="s">
        <v>278</v>
      </c>
    </row>
    <row r="42" spans="2:4" x14ac:dyDescent="0.25">
      <c r="B42" t="s">
        <v>82</v>
      </c>
      <c r="C42" t="s">
        <v>83</v>
      </c>
      <c r="D42" t="s">
        <v>279</v>
      </c>
    </row>
    <row r="43" spans="2:4" x14ac:dyDescent="0.25">
      <c r="B43" t="s">
        <v>84</v>
      </c>
      <c r="C43" t="s">
        <v>85</v>
      </c>
      <c r="D43" t="s">
        <v>280</v>
      </c>
    </row>
    <row r="44" spans="2:4" x14ac:dyDescent="0.25">
      <c r="B44" t="s">
        <v>86</v>
      </c>
      <c r="C44" t="s">
        <v>87</v>
      </c>
      <c r="D44" t="s">
        <v>281</v>
      </c>
    </row>
    <row r="45" spans="2:4" x14ac:dyDescent="0.25">
      <c r="B45" t="s">
        <v>88</v>
      </c>
      <c r="C45" t="s">
        <v>89</v>
      </c>
      <c r="D45" t="s">
        <v>282</v>
      </c>
    </row>
    <row r="46" spans="2:4" x14ac:dyDescent="0.25">
      <c r="B46" t="s">
        <v>90</v>
      </c>
      <c r="C46" t="s">
        <v>91</v>
      </c>
      <c r="D46" t="s">
        <v>283</v>
      </c>
    </row>
    <row r="47" spans="2:4" x14ac:dyDescent="0.25">
      <c r="B47" t="s">
        <v>92</v>
      </c>
      <c r="C47" t="s">
        <v>93</v>
      </c>
      <c r="D47" t="s">
        <v>284</v>
      </c>
    </row>
    <row r="48" spans="2:4" x14ac:dyDescent="0.25">
      <c r="B48" t="s">
        <v>94</v>
      </c>
      <c r="C48" t="s">
        <v>95</v>
      </c>
      <c r="D48" t="s">
        <v>362</v>
      </c>
    </row>
    <row r="49" spans="2:4" x14ac:dyDescent="0.25">
      <c r="B49" t="s">
        <v>96</v>
      </c>
      <c r="C49" t="s">
        <v>97</v>
      </c>
      <c r="D49" t="s">
        <v>285</v>
      </c>
    </row>
    <row r="50" spans="2:4" x14ac:dyDescent="0.25">
      <c r="B50" t="s">
        <v>98</v>
      </c>
      <c r="C50" t="s">
        <v>99</v>
      </c>
      <c r="D50" t="s">
        <v>286</v>
      </c>
    </row>
    <row r="51" spans="2:4" x14ac:dyDescent="0.25">
      <c r="B51" t="s">
        <v>100</v>
      </c>
      <c r="C51" t="s">
        <v>101</v>
      </c>
      <c r="D51" t="s">
        <v>287</v>
      </c>
    </row>
    <row r="52" spans="2:4" x14ac:dyDescent="0.25">
      <c r="B52" t="s">
        <v>102</v>
      </c>
      <c r="C52" t="s">
        <v>103</v>
      </c>
      <c r="D52" t="s">
        <v>288</v>
      </c>
    </row>
    <row r="53" spans="2:4" x14ac:dyDescent="0.25">
      <c r="B53" t="s">
        <v>104</v>
      </c>
      <c r="C53" t="s">
        <v>105</v>
      </c>
      <c r="D53" t="s">
        <v>289</v>
      </c>
    </row>
    <row r="54" spans="2:4" x14ac:dyDescent="0.25">
      <c r="B54" t="s">
        <v>106</v>
      </c>
      <c r="C54" t="s">
        <v>107</v>
      </c>
      <c r="D54" t="s">
        <v>290</v>
      </c>
    </row>
    <row r="55" spans="2:4" x14ac:dyDescent="0.25">
      <c r="B55" t="s">
        <v>108</v>
      </c>
      <c r="C55" t="s">
        <v>109</v>
      </c>
      <c r="D55" t="s">
        <v>291</v>
      </c>
    </row>
    <row r="56" spans="2:4" x14ac:dyDescent="0.25">
      <c r="B56" t="s">
        <v>110</v>
      </c>
      <c r="C56" t="s">
        <v>111</v>
      </c>
      <c r="D56" t="s">
        <v>292</v>
      </c>
    </row>
    <row r="57" spans="2:4" x14ac:dyDescent="0.25">
      <c r="B57" t="s">
        <v>112</v>
      </c>
      <c r="C57" t="s">
        <v>113</v>
      </c>
      <c r="D57" t="s">
        <v>357</v>
      </c>
    </row>
    <row r="58" spans="2:4" x14ac:dyDescent="0.25">
      <c r="B58" t="s">
        <v>114</v>
      </c>
      <c r="C58" t="s">
        <v>115</v>
      </c>
      <c r="D58" t="s">
        <v>294</v>
      </c>
    </row>
    <row r="59" spans="2:4" x14ac:dyDescent="0.25">
      <c r="B59" t="s">
        <v>116</v>
      </c>
      <c r="C59" t="s">
        <v>117</v>
      </c>
      <c r="D59" t="s">
        <v>295</v>
      </c>
    </row>
    <row r="60" spans="2:4" x14ac:dyDescent="0.25">
      <c r="B60" t="s">
        <v>118</v>
      </c>
      <c r="C60" t="s">
        <v>119</v>
      </c>
      <c r="D60" t="s">
        <v>296</v>
      </c>
    </row>
    <row r="61" spans="2:4" x14ac:dyDescent="0.25">
      <c r="B61" t="s">
        <v>120</v>
      </c>
      <c r="C61" t="s">
        <v>121</v>
      </c>
      <c r="D61" t="s">
        <v>297</v>
      </c>
    </row>
    <row r="62" spans="2:4" x14ac:dyDescent="0.25">
      <c r="B62" t="s">
        <v>122</v>
      </c>
      <c r="C62" t="s">
        <v>123</v>
      </c>
      <c r="D62" t="s">
        <v>298</v>
      </c>
    </row>
    <row r="63" spans="2:4" x14ac:dyDescent="0.25">
      <c r="B63" t="s">
        <v>124</v>
      </c>
      <c r="C63" t="s">
        <v>125</v>
      </c>
      <c r="D63" t="s">
        <v>299</v>
      </c>
    </row>
    <row r="64" spans="2:4" x14ac:dyDescent="0.25">
      <c r="B64" t="s">
        <v>126</v>
      </c>
      <c r="C64" t="s">
        <v>127</v>
      </c>
      <c r="D64" t="s">
        <v>300</v>
      </c>
    </row>
    <row r="65" spans="2:4" x14ac:dyDescent="0.25">
      <c r="B65" t="s">
        <v>128</v>
      </c>
      <c r="C65" t="s">
        <v>129</v>
      </c>
      <c r="D65" t="s">
        <v>301</v>
      </c>
    </row>
    <row r="66" spans="2:4" x14ac:dyDescent="0.25">
      <c r="B66" t="s">
        <v>130</v>
      </c>
      <c r="C66" t="s">
        <v>131</v>
      </c>
      <c r="D66" t="s">
        <v>302</v>
      </c>
    </row>
    <row r="67" spans="2:4" x14ac:dyDescent="0.25">
      <c r="B67" t="s">
        <v>132</v>
      </c>
      <c r="C67" t="s">
        <v>133</v>
      </c>
      <c r="D67" t="s">
        <v>303</v>
      </c>
    </row>
    <row r="68" spans="2:4" x14ac:dyDescent="0.25">
      <c r="B68" t="s">
        <v>134</v>
      </c>
      <c r="C68" t="s">
        <v>135</v>
      </c>
      <c r="D68" t="s">
        <v>304</v>
      </c>
    </row>
    <row r="69" spans="2:4" x14ac:dyDescent="0.25">
      <c r="B69" t="s">
        <v>136</v>
      </c>
      <c r="C69" t="s">
        <v>137</v>
      </c>
      <c r="D69" t="s">
        <v>305</v>
      </c>
    </row>
    <row r="70" spans="2:4" x14ac:dyDescent="0.25">
      <c r="B70" t="s">
        <v>138</v>
      </c>
      <c r="C70" t="s">
        <v>139</v>
      </c>
      <c r="D70" t="s">
        <v>306</v>
      </c>
    </row>
    <row r="71" spans="2:4" x14ac:dyDescent="0.25">
      <c r="B71" t="s">
        <v>140</v>
      </c>
      <c r="C71" t="s">
        <v>141</v>
      </c>
      <c r="D71" t="s">
        <v>307</v>
      </c>
    </row>
    <row r="72" spans="2:4" x14ac:dyDescent="0.25">
      <c r="B72" t="s">
        <v>142</v>
      </c>
      <c r="C72" t="s">
        <v>143</v>
      </c>
      <c r="D72" t="s">
        <v>308</v>
      </c>
    </row>
    <row r="73" spans="2:4" x14ac:dyDescent="0.25">
      <c r="B73" t="s">
        <v>144</v>
      </c>
      <c r="C73" t="s">
        <v>145</v>
      </c>
      <c r="D73" t="s">
        <v>356</v>
      </c>
    </row>
    <row r="74" spans="2:4" x14ac:dyDescent="0.25">
      <c r="B74" t="s">
        <v>146</v>
      </c>
      <c r="C74" t="s">
        <v>147</v>
      </c>
      <c r="D74" t="s">
        <v>293</v>
      </c>
    </row>
    <row r="75" spans="2:4" x14ac:dyDescent="0.25">
      <c r="B75" t="s">
        <v>148</v>
      </c>
      <c r="C75" t="s">
        <v>149</v>
      </c>
      <c r="D75" t="s">
        <v>309</v>
      </c>
    </row>
    <row r="76" spans="2:4" x14ac:dyDescent="0.25">
      <c r="B76" t="s">
        <v>150</v>
      </c>
      <c r="C76" t="s">
        <v>151</v>
      </c>
      <c r="D76" t="s">
        <v>310</v>
      </c>
    </row>
    <row r="77" spans="2:4" x14ac:dyDescent="0.25">
      <c r="B77" t="s">
        <v>152</v>
      </c>
      <c r="C77" t="s">
        <v>153</v>
      </c>
      <c r="D77" t="s">
        <v>311</v>
      </c>
    </row>
    <row r="78" spans="2:4" x14ac:dyDescent="0.25">
      <c r="B78" t="s">
        <v>154</v>
      </c>
      <c r="C78" t="s">
        <v>155</v>
      </c>
      <c r="D78" t="s">
        <v>312</v>
      </c>
    </row>
    <row r="79" spans="2:4" x14ac:dyDescent="0.25">
      <c r="B79" t="s">
        <v>156</v>
      </c>
      <c r="C79" t="s">
        <v>157</v>
      </c>
      <c r="D79" t="s">
        <v>313</v>
      </c>
    </row>
    <row r="80" spans="2:4" x14ac:dyDescent="0.25">
      <c r="B80" t="s">
        <v>158</v>
      </c>
      <c r="C80" t="s">
        <v>159</v>
      </c>
      <c r="D80" t="s">
        <v>314</v>
      </c>
    </row>
    <row r="81" spans="2:4" x14ac:dyDescent="0.25">
      <c r="B81" t="s">
        <v>160</v>
      </c>
      <c r="C81" t="s">
        <v>161</v>
      </c>
      <c r="D81" t="s">
        <v>315</v>
      </c>
    </row>
    <row r="82" spans="2:4" x14ac:dyDescent="0.25">
      <c r="B82" t="s">
        <v>162</v>
      </c>
      <c r="C82" t="s">
        <v>163</v>
      </c>
      <c r="D82" t="s">
        <v>316</v>
      </c>
    </row>
    <row r="83" spans="2:4" x14ac:dyDescent="0.25">
      <c r="B83" t="s">
        <v>164</v>
      </c>
      <c r="C83" t="s">
        <v>165</v>
      </c>
      <c r="D83" t="s">
        <v>317</v>
      </c>
    </row>
    <row r="84" spans="2:4" x14ac:dyDescent="0.25">
      <c r="B84" t="s">
        <v>166</v>
      </c>
      <c r="C84" t="s">
        <v>167</v>
      </c>
      <c r="D84" t="s">
        <v>318</v>
      </c>
    </row>
    <row r="85" spans="2:4" x14ac:dyDescent="0.25">
      <c r="B85" t="s">
        <v>168</v>
      </c>
      <c r="C85" t="s">
        <v>169</v>
      </c>
      <c r="D85" t="s">
        <v>319</v>
      </c>
    </row>
    <row r="86" spans="2:4" x14ac:dyDescent="0.25">
      <c r="B86" t="s">
        <v>4</v>
      </c>
      <c r="C86" t="s">
        <v>5</v>
      </c>
      <c r="D86" t="s">
        <v>320</v>
      </c>
    </row>
    <row r="87" spans="2:4" x14ac:dyDescent="0.25">
      <c r="B87" t="s">
        <v>170</v>
      </c>
      <c r="C87" t="s">
        <v>171</v>
      </c>
      <c r="D87" t="s">
        <v>321</v>
      </c>
    </row>
    <row r="88" spans="2:4" x14ac:dyDescent="0.25">
      <c r="B88" t="s">
        <v>172</v>
      </c>
      <c r="C88" t="s">
        <v>173</v>
      </c>
      <c r="D88" t="s">
        <v>322</v>
      </c>
    </row>
    <row r="89" spans="2:4" x14ac:dyDescent="0.25">
      <c r="B89" t="s">
        <v>174</v>
      </c>
      <c r="C89" t="s">
        <v>175</v>
      </c>
      <c r="D89" t="s">
        <v>323</v>
      </c>
    </row>
    <row r="90" spans="2:4" x14ac:dyDescent="0.25">
      <c r="B90" t="s">
        <v>176</v>
      </c>
      <c r="C90" t="s">
        <v>177</v>
      </c>
      <c r="D90" t="s">
        <v>324</v>
      </c>
    </row>
    <row r="91" spans="2:4" x14ac:dyDescent="0.25">
      <c r="B91" t="s">
        <v>178</v>
      </c>
      <c r="C91" t="s">
        <v>179</v>
      </c>
      <c r="D91" t="s">
        <v>325</v>
      </c>
    </row>
    <row r="92" spans="2:4" x14ac:dyDescent="0.25">
      <c r="B92" t="s">
        <v>180</v>
      </c>
      <c r="C92" t="s">
        <v>181</v>
      </c>
      <c r="D92" t="s">
        <v>326</v>
      </c>
    </row>
    <row r="93" spans="2:4" x14ac:dyDescent="0.25">
      <c r="B93" t="s">
        <v>182</v>
      </c>
      <c r="C93" t="s">
        <v>183</v>
      </c>
      <c r="D93" t="s">
        <v>327</v>
      </c>
    </row>
    <row r="94" spans="2:4" x14ac:dyDescent="0.25">
      <c r="B94" t="s">
        <v>184</v>
      </c>
      <c r="C94" t="s">
        <v>185</v>
      </c>
      <c r="D94" t="s">
        <v>328</v>
      </c>
    </row>
    <row r="95" spans="2:4" x14ac:dyDescent="0.25">
      <c r="B95" t="s">
        <v>186</v>
      </c>
      <c r="C95" t="s">
        <v>187</v>
      </c>
      <c r="D95" t="s">
        <v>329</v>
      </c>
    </row>
    <row r="96" spans="2:4" x14ac:dyDescent="0.25">
      <c r="B96" t="s">
        <v>188</v>
      </c>
      <c r="C96" t="s">
        <v>189</v>
      </c>
      <c r="D96" t="s">
        <v>330</v>
      </c>
    </row>
    <row r="97" spans="2:4" x14ac:dyDescent="0.25">
      <c r="B97" t="s">
        <v>190</v>
      </c>
      <c r="C97" t="s">
        <v>191</v>
      </c>
      <c r="D97" t="s">
        <v>331</v>
      </c>
    </row>
    <row r="98" spans="2:4" x14ac:dyDescent="0.25">
      <c r="B98" t="s">
        <v>192</v>
      </c>
      <c r="C98" t="s">
        <v>193</v>
      </c>
      <c r="D98" t="s">
        <v>332</v>
      </c>
    </row>
    <row r="99" spans="2:4" x14ac:dyDescent="0.25">
      <c r="B99" t="s">
        <v>194</v>
      </c>
      <c r="C99" t="s">
        <v>195</v>
      </c>
      <c r="D99" t="s">
        <v>333</v>
      </c>
    </row>
    <row r="100" spans="2:4" x14ac:dyDescent="0.25">
      <c r="B100" t="s">
        <v>196</v>
      </c>
      <c r="C100" t="s">
        <v>197</v>
      </c>
      <c r="D100" t="s">
        <v>334</v>
      </c>
    </row>
    <row r="101" spans="2:4" x14ac:dyDescent="0.25">
      <c r="B101" t="s">
        <v>198</v>
      </c>
      <c r="C101" t="s">
        <v>199</v>
      </c>
      <c r="D101" t="s">
        <v>335</v>
      </c>
    </row>
    <row r="102" spans="2:4" x14ac:dyDescent="0.25">
      <c r="B102" t="s">
        <v>200</v>
      </c>
      <c r="C102" t="s">
        <v>201</v>
      </c>
      <c r="D102" t="s">
        <v>336</v>
      </c>
    </row>
    <row r="103" spans="2:4" x14ac:dyDescent="0.25">
      <c r="B103" t="s">
        <v>202</v>
      </c>
      <c r="C103" t="s">
        <v>203</v>
      </c>
      <c r="D103" t="s">
        <v>337</v>
      </c>
    </row>
    <row r="104" spans="2:4" x14ac:dyDescent="0.25">
      <c r="B104" t="s">
        <v>204</v>
      </c>
      <c r="C104" t="s">
        <v>205</v>
      </c>
      <c r="D104" t="s">
        <v>338</v>
      </c>
    </row>
    <row r="105" spans="2:4" x14ac:dyDescent="0.25">
      <c r="B105" t="s">
        <v>206</v>
      </c>
      <c r="C105" t="s">
        <v>207</v>
      </c>
      <c r="D105" t="s">
        <v>339</v>
      </c>
    </row>
    <row r="106" spans="2:4" x14ac:dyDescent="0.25">
      <c r="B106" t="s">
        <v>208</v>
      </c>
      <c r="C106" t="s">
        <v>209</v>
      </c>
      <c r="D106" t="s">
        <v>340</v>
      </c>
    </row>
    <row r="107" spans="2:4" x14ac:dyDescent="0.25">
      <c r="B107" t="s">
        <v>210</v>
      </c>
      <c r="C107" t="s">
        <v>211</v>
      </c>
      <c r="D107" t="s">
        <v>341</v>
      </c>
    </row>
    <row r="108" spans="2:4" x14ac:dyDescent="0.25">
      <c r="B108" t="s">
        <v>212</v>
      </c>
      <c r="C108" t="s">
        <v>213</v>
      </c>
      <c r="D108" t="s">
        <v>342</v>
      </c>
    </row>
    <row r="109" spans="2:4" x14ac:dyDescent="0.25">
      <c r="B109" t="s">
        <v>214</v>
      </c>
      <c r="C109" t="s">
        <v>215</v>
      </c>
      <c r="D109" t="s">
        <v>343</v>
      </c>
    </row>
    <row r="110" spans="2:4" x14ac:dyDescent="0.25">
      <c r="B110" t="s">
        <v>216</v>
      </c>
      <c r="C110" t="s">
        <v>217</v>
      </c>
      <c r="D110" t="s">
        <v>344</v>
      </c>
    </row>
    <row r="111" spans="2:4" x14ac:dyDescent="0.25">
      <c r="B111" t="s">
        <v>218</v>
      </c>
      <c r="C111" t="s">
        <v>219</v>
      </c>
      <c r="D111" t="s">
        <v>345</v>
      </c>
    </row>
    <row r="112" spans="2:4" x14ac:dyDescent="0.25">
      <c r="B112" t="s">
        <v>220</v>
      </c>
      <c r="C112" t="s">
        <v>221</v>
      </c>
      <c r="D112" t="s">
        <v>346</v>
      </c>
    </row>
    <row r="113" spans="2:4" x14ac:dyDescent="0.25">
      <c r="B113" t="s">
        <v>222</v>
      </c>
      <c r="C113" t="s">
        <v>223</v>
      </c>
      <c r="D113" t="s">
        <v>347</v>
      </c>
    </row>
    <row r="114" spans="2:4" x14ac:dyDescent="0.25">
      <c r="B114" t="s">
        <v>224</v>
      </c>
      <c r="C114" t="s">
        <v>225</v>
      </c>
      <c r="D114" t="s">
        <v>355</v>
      </c>
    </row>
    <row r="115" spans="2:4" x14ac:dyDescent="0.25">
      <c r="B115" t="s">
        <v>226</v>
      </c>
      <c r="C115" t="s">
        <v>227</v>
      </c>
      <c r="D115" t="s">
        <v>348</v>
      </c>
    </row>
    <row r="116" spans="2:4" x14ac:dyDescent="0.25">
      <c r="B116" t="s">
        <v>228</v>
      </c>
      <c r="C116" t="s">
        <v>229</v>
      </c>
      <c r="D116" t="s">
        <v>349</v>
      </c>
    </row>
    <row r="117" spans="2:4" x14ac:dyDescent="0.25">
      <c r="B117" t="s">
        <v>230</v>
      </c>
      <c r="C117" t="s">
        <v>231</v>
      </c>
      <c r="D117" t="s">
        <v>350</v>
      </c>
    </row>
    <row r="118" spans="2:4" x14ac:dyDescent="0.25">
      <c r="B118" t="s">
        <v>232</v>
      </c>
      <c r="C118" t="s">
        <v>233</v>
      </c>
      <c r="D118" t="s">
        <v>351</v>
      </c>
    </row>
    <row r="119" spans="2:4" x14ac:dyDescent="0.25">
      <c r="B119" t="s">
        <v>234</v>
      </c>
      <c r="C119" t="s">
        <v>235</v>
      </c>
      <c r="D119" t="s">
        <v>363</v>
      </c>
    </row>
    <row r="120" spans="2:4" x14ac:dyDescent="0.25">
      <c r="B120" t="s">
        <v>236</v>
      </c>
      <c r="C120" t="s">
        <v>237</v>
      </c>
      <c r="D120" t="s">
        <v>352</v>
      </c>
    </row>
    <row r="121" spans="2:4" x14ac:dyDescent="0.25">
      <c r="B121" t="s">
        <v>238</v>
      </c>
      <c r="C121" t="s">
        <v>239</v>
      </c>
      <c r="D121" t="s">
        <v>248</v>
      </c>
    </row>
    <row r="122" spans="2:4" x14ac:dyDescent="0.25">
      <c r="B122" t="s">
        <v>240</v>
      </c>
      <c r="C122" t="s">
        <v>241</v>
      </c>
      <c r="D122" t="s">
        <v>353</v>
      </c>
    </row>
    <row r="123" spans="2:4" x14ac:dyDescent="0.25">
      <c r="B123" t="s">
        <v>242</v>
      </c>
      <c r="C123" t="s">
        <v>243</v>
      </c>
      <c r="D123" t="s">
        <v>354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embar6"/>
  <dimension ref="B4:C123"/>
  <sheetViews>
    <sheetView workbookViewId="0">
      <selection activeCell="I26" sqref="I26"/>
    </sheetView>
  </sheetViews>
  <sheetFormatPr defaultRowHeight="15" x14ac:dyDescent="0.25"/>
  <cols>
    <col min="2" max="2" width="14" customWidth="1"/>
    <col min="3" max="3" width="29.7109375" customWidth="1"/>
    <col min="4" max="4" width="13.85546875" customWidth="1"/>
  </cols>
  <sheetData>
    <row r="4" spans="2:3" x14ac:dyDescent="0.25">
      <c r="B4" s="6" t="s">
        <v>6</v>
      </c>
      <c r="C4" s="6" t="s">
        <v>7</v>
      </c>
    </row>
    <row r="5" spans="2:3" x14ac:dyDescent="0.25">
      <c r="B5" t="s">
        <v>8</v>
      </c>
      <c r="C5" t="s">
        <v>9</v>
      </c>
    </row>
    <row r="6" spans="2:3" x14ac:dyDescent="0.25">
      <c r="B6" t="s">
        <v>10</v>
      </c>
      <c r="C6" t="s">
        <v>11</v>
      </c>
    </row>
    <row r="7" spans="2:3" x14ac:dyDescent="0.25">
      <c r="B7" t="s">
        <v>12</v>
      </c>
      <c r="C7" t="s">
        <v>13</v>
      </c>
    </row>
    <row r="8" spans="2:3" x14ac:dyDescent="0.25">
      <c r="B8" t="s">
        <v>14</v>
      </c>
      <c r="C8" t="s">
        <v>15</v>
      </c>
    </row>
    <row r="9" spans="2:3" x14ac:dyDescent="0.25">
      <c r="B9" t="s">
        <v>16</v>
      </c>
      <c r="C9" t="s">
        <v>17</v>
      </c>
    </row>
    <row r="10" spans="2:3" x14ac:dyDescent="0.25">
      <c r="B10" t="s">
        <v>18</v>
      </c>
      <c r="C10" t="s">
        <v>19</v>
      </c>
    </row>
    <row r="11" spans="2:3" x14ac:dyDescent="0.25">
      <c r="B11" t="s">
        <v>20</v>
      </c>
      <c r="C11" t="s">
        <v>21</v>
      </c>
    </row>
    <row r="12" spans="2:3" x14ac:dyDescent="0.25">
      <c r="B12" t="s">
        <v>22</v>
      </c>
      <c r="C12" t="s">
        <v>23</v>
      </c>
    </row>
    <row r="13" spans="2:3" x14ac:dyDescent="0.25">
      <c r="B13" t="s">
        <v>24</v>
      </c>
      <c r="C13" t="s">
        <v>25</v>
      </c>
    </row>
    <row r="14" spans="2:3" x14ac:dyDescent="0.25">
      <c r="B14" t="s">
        <v>26</v>
      </c>
      <c r="C14" t="s">
        <v>27</v>
      </c>
    </row>
    <row r="15" spans="2:3" x14ac:dyDescent="0.25">
      <c r="B15" t="s">
        <v>28</v>
      </c>
      <c r="C15" t="s">
        <v>29</v>
      </c>
    </row>
    <row r="16" spans="2:3" x14ac:dyDescent="0.25">
      <c r="B16" t="s">
        <v>30</v>
      </c>
      <c r="C16" t="s">
        <v>31</v>
      </c>
    </row>
    <row r="17" spans="2:3" x14ac:dyDescent="0.25">
      <c r="B17" t="s">
        <v>32</v>
      </c>
      <c r="C17" t="s">
        <v>33</v>
      </c>
    </row>
    <row r="18" spans="2:3" x14ac:dyDescent="0.25">
      <c r="B18" t="s">
        <v>34</v>
      </c>
      <c r="C18" t="s">
        <v>35</v>
      </c>
    </row>
    <row r="19" spans="2:3" x14ac:dyDescent="0.25">
      <c r="B19" t="s">
        <v>36</v>
      </c>
      <c r="C19" t="s">
        <v>37</v>
      </c>
    </row>
    <row r="20" spans="2:3" x14ac:dyDescent="0.25">
      <c r="B20" t="s">
        <v>38</v>
      </c>
      <c r="C20" t="s">
        <v>39</v>
      </c>
    </row>
    <row r="21" spans="2:3" x14ac:dyDescent="0.25">
      <c r="B21" t="s">
        <v>40</v>
      </c>
      <c r="C21" t="s">
        <v>41</v>
      </c>
    </row>
    <row r="22" spans="2:3" x14ac:dyDescent="0.25">
      <c r="B22" t="s">
        <v>42</v>
      </c>
      <c r="C22" t="s">
        <v>43</v>
      </c>
    </row>
    <row r="23" spans="2:3" x14ac:dyDescent="0.25">
      <c r="B23" t="s">
        <v>44</v>
      </c>
      <c r="C23" t="s">
        <v>45</v>
      </c>
    </row>
    <row r="24" spans="2:3" x14ac:dyDescent="0.25">
      <c r="B24" t="s">
        <v>46</v>
      </c>
      <c r="C24" t="s">
        <v>47</v>
      </c>
    </row>
    <row r="25" spans="2:3" x14ac:dyDescent="0.25">
      <c r="B25" t="s">
        <v>48</v>
      </c>
      <c r="C25" t="s">
        <v>49</v>
      </c>
    </row>
    <row r="26" spans="2:3" x14ac:dyDescent="0.25">
      <c r="B26" t="s">
        <v>50</v>
      </c>
      <c r="C26" t="s">
        <v>51</v>
      </c>
    </row>
    <row r="27" spans="2:3" x14ac:dyDescent="0.25">
      <c r="B27" t="s">
        <v>52</v>
      </c>
      <c r="C27" t="s">
        <v>53</v>
      </c>
    </row>
    <row r="28" spans="2:3" x14ac:dyDescent="0.25">
      <c r="B28" t="s">
        <v>54</v>
      </c>
      <c r="C28" t="s">
        <v>55</v>
      </c>
    </row>
    <row r="29" spans="2:3" x14ac:dyDescent="0.25">
      <c r="B29" t="s">
        <v>56</v>
      </c>
      <c r="C29" t="s">
        <v>57</v>
      </c>
    </row>
    <row r="30" spans="2:3" x14ac:dyDescent="0.25">
      <c r="B30" t="s">
        <v>58</v>
      </c>
      <c r="C30" t="s">
        <v>59</v>
      </c>
    </row>
    <row r="31" spans="2:3" x14ac:dyDescent="0.25">
      <c r="B31" t="s">
        <v>60</v>
      </c>
      <c r="C31" t="s">
        <v>61</v>
      </c>
    </row>
    <row r="32" spans="2:3" x14ac:dyDescent="0.25">
      <c r="B32" t="s">
        <v>62</v>
      </c>
      <c r="C32" t="s">
        <v>63</v>
      </c>
    </row>
    <row r="33" spans="2:3" x14ac:dyDescent="0.25">
      <c r="B33" t="s">
        <v>64</v>
      </c>
      <c r="C33" t="s">
        <v>65</v>
      </c>
    </row>
    <row r="34" spans="2:3" x14ac:dyDescent="0.25">
      <c r="B34" t="s">
        <v>66</v>
      </c>
      <c r="C34" t="s">
        <v>67</v>
      </c>
    </row>
    <row r="35" spans="2:3" x14ac:dyDescent="0.25">
      <c r="B35" t="s">
        <v>68</v>
      </c>
      <c r="C35" t="s">
        <v>69</v>
      </c>
    </row>
    <row r="36" spans="2:3" x14ac:dyDescent="0.25">
      <c r="B36" t="s">
        <v>70</v>
      </c>
      <c r="C36" t="s">
        <v>71</v>
      </c>
    </row>
    <row r="37" spans="2:3" x14ac:dyDescent="0.25">
      <c r="B37" t="s">
        <v>72</v>
      </c>
      <c r="C37" t="s">
        <v>73</v>
      </c>
    </row>
    <row r="38" spans="2:3" x14ac:dyDescent="0.25">
      <c r="B38" t="s">
        <v>74</v>
      </c>
      <c r="C38" t="s">
        <v>75</v>
      </c>
    </row>
    <row r="39" spans="2:3" x14ac:dyDescent="0.25">
      <c r="B39" t="s">
        <v>76</v>
      </c>
      <c r="C39" t="s">
        <v>77</v>
      </c>
    </row>
    <row r="40" spans="2:3" x14ac:dyDescent="0.25">
      <c r="B40" t="s">
        <v>78</v>
      </c>
      <c r="C40" t="s">
        <v>79</v>
      </c>
    </row>
    <row r="41" spans="2:3" x14ac:dyDescent="0.25">
      <c r="B41" t="s">
        <v>80</v>
      </c>
      <c r="C41" t="s">
        <v>81</v>
      </c>
    </row>
    <row r="42" spans="2:3" x14ac:dyDescent="0.25">
      <c r="B42" t="s">
        <v>82</v>
      </c>
      <c r="C42" t="s">
        <v>83</v>
      </c>
    </row>
    <row r="43" spans="2:3" x14ac:dyDescent="0.25">
      <c r="B43" t="s">
        <v>84</v>
      </c>
      <c r="C43" t="s">
        <v>85</v>
      </c>
    </row>
    <row r="44" spans="2:3" x14ac:dyDescent="0.25">
      <c r="B44" t="s">
        <v>86</v>
      </c>
      <c r="C44" t="s">
        <v>87</v>
      </c>
    </row>
    <row r="45" spans="2:3" x14ac:dyDescent="0.25">
      <c r="B45" t="s">
        <v>88</v>
      </c>
      <c r="C45" t="s">
        <v>89</v>
      </c>
    </row>
    <row r="46" spans="2:3" x14ac:dyDescent="0.25">
      <c r="B46" t="s">
        <v>90</v>
      </c>
      <c r="C46" t="s">
        <v>91</v>
      </c>
    </row>
    <row r="47" spans="2:3" x14ac:dyDescent="0.25">
      <c r="B47" t="s">
        <v>92</v>
      </c>
      <c r="C47" t="s">
        <v>93</v>
      </c>
    </row>
    <row r="48" spans="2:3" x14ac:dyDescent="0.25">
      <c r="B48" t="s">
        <v>94</v>
      </c>
      <c r="C48" t="s">
        <v>95</v>
      </c>
    </row>
    <row r="49" spans="2:3" x14ac:dyDescent="0.25">
      <c r="B49" t="s">
        <v>96</v>
      </c>
      <c r="C49" t="s">
        <v>97</v>
      </c>
    </row>
    <row r="50" spans="2:3" x14ac:dyDescent="0.25">
      <c r="B50" t="s">
        <v>98</v>
      </c>
      <c r="C50" t="s">
        <v>99</v>
      </c>
    </row>
    <row r="51" spans="2:3" x14ac:dyDescent="0.25">
      <c r="B51" t="s">
        <v>100</v>
      </c>
      <c r="C51" t="s">
        <v>101</v>
      </c>
    </row>
    <row r="52" spans="2:3" x14ac:dyDescent="0.25">
      <c r="B52" t="s">
        <v>102</v>
      </c>
      <c r="C52" t="s">
        <v>103</v>
      </c>
    </row>
    <row r="53" spans="2:3" x14ac:dyDescent="0.25">
      <c r="B53" t="s">
        <v>104</v>
      </c>
      <c r="C53" t="s">
        <v>105</v>
      </c>
    </row>
    <row r="54" spans="2:3" x14ac:dyDescent="0.25">
      <c r="B54" t="s">
        <v>106</v>
      </c>
      <c r="C54" t="s">
        <v>107</v>
      </c>
    </row>
    <row r="55" spans="2:3" x14ac:dyDescent="0.25">
      <c r="B55" t="s">
        <v>108</v>
      </c>
      <c r="C55" t="s">
        <v>109</v>
      </c>
    </row>
    <row r="56" spans="2:3" x14ac:dyDescent="0.25">
      <c r="B56" t="s">
        <v>110</v>
      </c>
      <c r="C56" t="s">
        <v>111</v>
      </c>
    </row>
    <row r="57" spans="2:3" x14ac:dyDescent="0.25">
      <c r="B57" t="s">
        <v>112</v>
      </c>
      <c r="C57" t="s">
        <v>113</v>
      </c>
    </row>
    <row r="58" spans="2:3" x14ac:dyDescent="0.25">
      <c r="B58" t="s">
        <v>114</v>
      </c>
      <c r="C58" t="s">
        <v>115</v>
      </c>
    </row>
    <row r="59" spans="2:3" x14ac:dyDescent="0.25">
      <c r="B59" t="s">
        <v>116</v>
      </c>
      <c r="C59" t="s">
        <v>117</v>
      </c>
    </row>
    <row r="60" spans="2:3" x14ac:dyDescent="0.25">
      <c r="B60" t="s">
        <v>118</v>
      </c>
      <c r="C60" t="s">
        <v>119</v>
      </c>
    </row>
    <row r="61" spans="2:3" x14ac:dyDescent="0.25">
      <c r="B61" t="s">
        <v>120</v>
      </c>
      <c r="C61" t="s">
        <v>121</v>
      </c>
    </row>
    <row r="62" spans="2:3" x14ac:dyDescent="0.25">
      <c r="B62" t="s">
        <v>122</v>
      </c>
      <c r="C62" t="s">
        <v>123</v>
      </c>
    </row>
    <row r="63" spans="2:3" x14ac:dyDescent="0.25">
      <c r="B63" t="s">
        <v>124</v>
      </c>
      <c r="C63" t="s">
        <v>125</v>
      </c>
    </row>
    <row r="64" spans="2:3" x14ac:dyDescent="0.25">
      <c r="B64" t="s">
        <v>126</v>
      </c>
      <c r="C64" t="s">
        <v>127</v>
      </c>
    </row>
    <row r="65" spans="2:3" x14ac:dyDescent="0.25">
      <c r="B65" t="s">
        <v>128</v>
      </c>
      <c r="C65" t="s">
        <v>129</v>
      </c>
    </row>
    <row r="66" spans="2:3" x14ac:dyDescent="0.25">
      <c r="B66" t="s">
        <v>130</v>
      </c>
      <c r="C66" t="s">
        <v>131</v>
      </c>
    </row>
    <row r="67" spans="2:3" x14ac:dyDescent="0.25">
      <c r="B67" t="s">
        <v>132</v>
      </c>
      <c r="C67" t="s">
        <v>133</v>
      </c>
    </row>
    <row r="68" spans="2:3" x14ac:dyDescent="0.25">
      <c r="B68" t="s">
        <v>134</v>
      </c>
      <c r="C68" t="s">
        <v>135</v>
      </c>
    </row>
    <row r="69" spans="2:3" x14ac:dyDescent="0.25">
      <c r="B69" t="s">
        <v>136</v>
      </c>
      <c r="C69" t="s">
        <v>137</v>
      </c>
    </row>
    <row r="70" spans="2:3" x14ac:dyDescent="0.25">
      <c r="B70" t="s">
        <v>138</v>
      </c>
      <c r="C70" t="s">
        <v>139</v>
      </c>
    </row>
    <row r="71" spans="2:3" x14ac:dyDescent="0.25">
      <c r="B71" t="s">
        <v>140</v>
      </c>
      <c r="C71" t="s">
        <v>141</v>
      </c>
    </row>
    <row r="72" spans="2:3" x14ac:dyDescent="0.25">
      <c r="B72" t="s">
        <v>142</v>
      </c>
      <c r="C72" t="s">
        <v>143</v>
      </c>
    </row>
    <row r="73" spans="2:3" x14ac:dyDescent="0.25">
      <c r="B73" t="s">
        <v>144</v>
      </c>
      <c r="C73" t="s">
        <v>145</v>
      </c>
    </row>
    <row r="74" spans="2:3" x14ac:dyDescent="0.25">
      <c r="B74" t="s">
        <v>146</v>
      </c>
      <c r="C74" t="s">
        <v>147</v>
      </c>
    </row>
    <row r="75" spans="2:3" x14ac:dyDescent="0.25">
      <c r="B75" t="s">
        <v>148</v>
      </c>
      <c r="C75" t="s">
        <v>149</v>
      </c>
    </row>
    <row r="76" spans="2:3" x14ac:dyDescent="0.25">
      <c r="B76" t="s">
        <v>150</v>
      </c>
      <c r="C76" t="s">
        <v>151</v>
      </c>
    </row>
    <row r="77" spans="2:3" x14ac:dyDescent="0.25">
      <c r="B77" t="s">
        <v>152</v>
      </c>
      <c r="C77" t="s">
        <v>153</v>
      </c>
    </row>
    <row r="78" spans="2:3" x14ac:dyDescent="0.25">
      <c r="B78" t="s">
        <v>154</v>
      </c>
      <c r="C78" t="s">
        <v>155</v>
      </c>
    </row>
    <row r="79" spans="2:3" x14ac:dyDescent="0.25">
      <c r="B79" t="s">
        <v>156</v>
      </c>
      <c r="C79" t="s">
        <v>157</v>
      </c>
    </row>
    <row r="80" spans="2:3" x14ac:dyDescent="0.25">
      <c r="B80" t="s">
        <v>158</v>
      </c>
      <c r="C80" t="s">
        <v>159</v>
      </c>
    </row>
    <row r="81" spans="2:3" x14ac:dyDescent="0.25">
      <c r="B81" t="s">
        <v>160</v>
      </c>
      <c r="C81" t="s">
        <v>161</v>
      </c>
    </row>
    <row r="82" spans="2:3" x14ac:dyDescent="0.25">
      <c r="B82" t="s">
        <v>162</v>
      </c>
      <c r="C82" t="s">
        <v>163</v>
      </c>
    </row>
    <row r="83" spans="2:3" x14ac:dyDescent="0.25">
      <c r="B83" t="s">
        <v>164</v>
      </c>
      <c r="C83" t="s">
        <v>165</v>
      </c>
    </row>
    <row r="84" spans="2:3" x14ac:dyDescent="0.25">
      <c r="B84" t="s">
        <v>166</v>
      </c>
      <c r="C84" t="s">
        <v>167</v>
      </c>
    </row>
    <row r="85" spans="2:3" x14ac:dyDescent="0.25">
      <c r="B85" t="s">
        <v>168</v>
      </c>
      <c r="C85" t="s">
        <v>169</v>
      </c>
    </row>
    <row r="86" spans="2:3" x14ac:dyDescent="0.25">
      <c r="B86" t="s">
        <v>4</v>
      </c>
      <c r="C86" t="s">
        <v>5</v>
      </c>
    </row>
    <row r="87" spans="2:3" x14ac:dyDescent="0.25">
      <c r="B87" t="s">
        <v>170</v>
      </c>
      <c r="C87" t="s">
        <v>171</v>
      </c>
    </row>
    <row r="88" spans="2:3" x14ac:dyDescent="0.25">
      <c r="B88" t="s">
        <v>172</v>
      </c>
      <c r="C88" t="s">
        <v>173</v>
      </c>
    </row>
    <row r="89" spans="2:3" x14ac:dyDescent="0.25">
      <c r="B89" t="s">
        <v>174</v>
      </c>
      <c r="C89" t="s">
        <v>175</v>
      </c>
    </row>
    <row r="90" spans="2:3" x14ac:dyDescent="0.25">
      <c r="B90" t="s">
        <v>176</v>
      </c>
      <c r="C90" t="s">
        <v>177</v>
      </c>
    </row>
    <row r="91" spans="2:3" x14ac:dyDescent="0.25">
      <c r="B91" t="s">
        <v>178</v>
      </c>
      <c r="C91" t="s">
        <v>179</v>
      </c>
    </row>
    <row r="92" spans="2:3" x14ac:dyDescent="0.25">
      <c r="B92" t="s">
        <v>180</v>
      </c>
      <c r="C92" t="s">
        <v>181</v>
      </c>
    </row>
    <row r="93" spans="2:3" x14ac:dyDescent="0.25">
      <c r="B93" t="s">
        <v>182</v>
      </c>
      <c r="C93" t="s">
        <v>183</v>
      </c>
    </row>
    <row r="94" spans="2:3" x14ac:dyDescent="0.25">
      <c r="B94" t="s">
        <v>184</v>
      </c>
      <c r="C94" t="s">
        <v>185</v>
      </c>
    </row>
    <row r="95" spans="2:3" x14ac:dyDescent="0.25">
      <c r="B95" t="s">
        <v>186</v>
      </c>
      <c r="C95" t="s">
        <v>187</v>
      </c>
    </row>
    <row r="96" spans="2:3" x14ac:dyDescent="0.25">
      <c r="B96" t="s">
        <v>188</v>
      </c>
      <c r="C96" t="s">
        <v>189</v>
      </c>
    </row>
    <row r="97" spans="2:3" x14ac:dyDescent="0.25">
      <c r="B97" t="s">
        <v>190</v>
      </c>
      <c r="C97" t="s">
        <v>191</v>
      </c>
    </row>
    <row r="98" spans="2:3" x14ac:dyDescent="0.25">
      <c r="B98" t="s">
        <v>192</v>
      </c>
      <c r="C98" t="s">
        <v>193</v>
      </c>
    </row>
    <row r="99" spans="2:3" x14ac:dyDescent="0.25">
      <c r="B99" t="s">
        <v>194</v>
      </c>
      <c r="C99" t="s">
        <v>195</v>
      </c>
    </row>
    <row r="100" spans="2:3" x14ac:dyDescent="0.25">
      <c r="B100" t="s">
        <v>196</v>
      </c>
      <c r="C100" t="s">
        <v>197</v>
      </c>
    </row>
    <row r="101" spans="2:3" x14ac:dyDescent="0.25">
      <c r="B101" t="s">
        <v>198</v>
      </c>
      <c r="C101" t="s">
        <v>199</v>
      </c>
    </row>
    <row r="102" spans="2:3" x14ac:dyDescent="0.25">
      <c r="B102" t="s">
        <v>200</v>
      </c>
      <c r="C102" t="s">
        <v>201</v>
      </c>
    </row>
    <row r="103" spans="2:3" x14ac:dyDescent="0.25">
      <c r="B103" t="s">
        <v>202</v>
      </c>
      <c r="C103" t="s">
        <v>203</v>
      </c>
    </row>
    <row r="104" spans="2:3" x14ac:dyDescent="0.25">
      <c r="B104" t="s">
        <v>204</v>
      </c>
      <c r="C104" t="s">
        <v>205</v>
      </c>
    </row>
    <row r="105" spans="2:3" x14ac:dyDescent="0.25">
      <c r="B105" t="s">
        <v>206</v>
      </c>
      <c r="C105" t="s">
        <v>207</v>
      </c>
    </row>
    <row r="106" spans="2:3" x14ac:dyDescent="0.25">
      <c r="B106" t="s">
        <v>208</v>
      </c>
      <c r="C106" t="s">
        <v>209</v>
      </c>
    </row>
    <row r="107" spans="2:3" x14ac:dyDescent="0.25">
      <c r="B107" t="s">
        <v>210</v>
      </c>
      <c r="C107" t="s">
        <v>211</v>
      </c>
    </row>
    <row r="108" spans="2:3" x14ac:dyDescent="0.25">
      <c r="B108" t="s">
        <v>212</v>
      </c>
      <c r="C108" t="s">
        <v>213</v>
      </c>
    </row>
    <row r="109" spans="2:3" x14ac:dyDescent="0.25">
      <c r="B109" t="s">
        <v>214</v>
      </c>
      <c r="C109" t="s">
        <v>215</v>
      </c>
    </row>
    <row r="110" spans="2:3" x14ac:dyDescent="0.25">
      <c r="B110" t="s">
        <v>216</v>
      </c>
      <c r="C110" t="s">
        <v>217</v>
      </c>
    </row>
    <row r="111" spans="2:3" x14ac:dyDescent="0.25">
      <c r="B111" t="s">
        <v>218</v>
      </c>
      <c r="C111" t="s">
        <v>219</v>
      </c>
    </row>
    <row r="112" spans="2:3" x14ac:dyDescent="0.25">
      <c r="B112" t="s">
        <v>220</v>
      </c>
      <c r="C112" t="s">
        <v>221</v>
      </c>
    </row>
    <row r="113" spans="2:3" x14ac:dyDescent="0.25">
      <c r="B113" t="s">
        <v>222</v>
      </c>
      <c r="C113" t="s">
        <v>223</v>
      </c>
    </row>
    <row r="114" spans="2:3" x14ac:dyDescent="0.25">
      <c r="B114" t="s">
        <v>224</v>
      </c>
      <c r="C114" t="s">
        <v>225</v>
      </c>
    </row>
    <row r="115" spans="2:3" x14ac:dyDescent="0.25">
      <c r="B115" t="s">
        <v>226</v>
      </c>
      <c r="C115" t="s">
        <v>227</v>
      </c>
    </row>
    <row r="116" spans="2:3" x14ac:dyDescent="0.25">
      <c r="B116" t="s">
        <v>228</v>
      </c>
      <c r="C116" t="s">
        <v>229</v>
      </c>
    </row>
    <row r="117" spans="2:3" x14ac:dyDescent="0.25">
      <c r="B117" t="s">
        <v>230</v>
      </c>
      <c r="C117" t="s">
        <v>231</v>
      </c>
    </row>
    <row r="118" spans="2:3" x14ac:dyDescent="0.25">
      <c r="B118" t="s">
        <v>232</v>
      </c>
      <c r="C118" t="s">
        <v>233</v>
      </c>
    </row>
    <row r="119" spans="2:3" x14ac:dyDescent="0.25">
      <c r="B119" t="s">
        <v>234</v>
      </c>
      <c r="C119" t="s">
        <v>235</v>
      </c>
    </row>
    <row r="120" spans="2:3" x14ac:dyDescent="0.25">
      <c r="B120" t="s">
        <v>236</v>
      </c>
      <c r="C120" t="s">
        <v>237</v>
      </c>
    </row>
    <row r="121" spans="2:3" x14ac:dyDescent="0.25">
      <c r="B121" t="s">
        <v>238</v>
      </c>
      <c r="C121" t="s">
        <v>239</v>
      </c>
    </row>
    <row r="122" spans="2:3" x14ac:dyDescent="0.25">
      <c r="B122" t="s">
        <v>240</v>
      </c>
      <c r="C122" t="s">
        <v>241</v>
      </c>
    </row>
    <row r="123" spans="2:3" x14ac:dyDescent="0.25">
      <c r="B123" t="s">
        <v>242</v>
      </c>
      <c r="C123" t="s">
        <v>243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0CCE2F20-7ADF-4E5F-A206-CD1C90C9E6C7}">
  <ds:schemaRefs/>
</ds:datastoreItem>
</file>

<file path=customXml/itemProps2.xml><?xml version="1.0" encoding="utf-8"?>
<ds:datastoreItem xmlns:ds="http://schemas.openxmlformats.org/officeDocument/2006/customXml" ds:itemID="{A5ABDB52-EBDE-4B4D-8BA8-9CC5274607D8}">
  <ds:schemaRefs/>
</ds:datastoreItem>
</file>

<file path=customXml/itemProps3.xml><?xml version="1.0" encoding="utf-8"?>
<ds:datastoreItem xmlns:ds="http://schemas.openxmlformats.org/officeDocument/2006/customXml" ds:itemID="{13B48A9E-3FD1-4C09-BB23-64AAD1B820F3}">
  <ds:schemaRefs/>
</ds:datastoreItem>
</file>

<file path=customXml/itemProps4.xml><?xml version="1.0" encoding="utf-8"?>
<ds:datastoreItem xmlns:ds="http://schemas.openxmlformats.org/officeDocument/2006/customXml" ds:itemID="{668A5C3D-4877-4C06-8A6A-BE7999631D64}">
  <ds:schemaRefs/>
</ds:datastoreItem>
</file>

<file path=customXml/itemProps5.xml><?xml version="1.0" encoding="utf-8"?>
<ds:datastoreItem xmlns:ds="http://schemas.openxmlformats.org/officeDocument/2006/customXml" ds:itemID="{EFC857F0-559F-48BD-80F0-C7D990B47BAC}">
  <ds:schemaRefs/>
</ds:datastoreItem>
</file>

<file path=customXml/itemProps6.xml><?xml version="1.0" encoding="utf-8"?>
<ds:datastoreItem xmlns:ds="http://schemas.openxmlformats.org/officeDocument/2006/customXml" ds:itemID="{FFD68594-A6F9-43AF-B2DC-010D6296CD53}">
  <ds:schemaRefs/>
</ds:datastoreItem>
</file>

<file path=customXml/itemProps7.xml><?xml version="1.0" encoding="utf-8"?>
<ds:datastoreItem xmlns:ds="http://schemas.openxmlformats.org/officeDocument/2006/customXml" ds:itemID="{00EC70B1-C751-42C1-AAB9-2EFBB6BE59E2}">
  <ds:schemaRefs/>
</ds:datastoreItem>
</file>

<file path=customXml/itemProps8.xml><?xml version="1.0" encoding="utf-8"?>
<ds:datastoreItem xmlns:ds="http://schemas.openxmlformats.org/officeDocument/2006/customXml" ds:itemID="{E044EB6B-68B8-4CA1-B0BD-789F27AAC0C1}">
  <ds:schemaRefs/>
</ds:datastoreItem>
</file>

<file path=customXml/itemProps9.xml><?xml version="1.0" encoding="utf-8"?>
<ds:datastoreItem xmlns:ds="http://schemas.openxmlformats.org/officeDocument/2006/customXml" ds:itemID="{78217A23-3DBB-412D-A7EE-E5298942992E}">
  <ds:schemaRefs/>
</ds:datastoreItem>
</file>

<file path=customXml/itemProps10.xml><?xml version="1.0" encoding="utf-8"?>
<ds:datastoreItem xmlns:ds="http://schemas.openxmlformats.org/officeDocument/2006/customXml" ds:itemID="{32452CFF-DC58-4DC0-A6E3-9D098AC762BD}">
  <ds:schemaRefs/>
</ds:datastoreItem>
</file>

<file path=customXml/itemProps11.xml><?xml version="1.0" encoding="utf-8"?>
<ds:datastoreItem xmlns:ds="http://schemas.openxmlformats.org/officeDocument/2006/customXml" ds:itemID="{26BAD6B1-A0E5-4123-AC32-717EA04A575E}">
  <ds:schemaRefs/>
</ds:datastoreItem>
</file>

<file path=customXml/itemProps12.xml><?xml version="1.0" encoding="utf-8"?>
<ds:datastoreItem xmlns:ds="http://schemas.openxmlformats.org/officeDocument/2006/customXml" ds:itemID="{A494AD02-C265-4F52-9931-A5FA8A0EB213}">
  <ds:schemaRefs/>
</ds:datastoreItem>
</file>

<file path=customXml/itemProps13.xml><?xml version="1.0" encoding="utf-8"?>
<ds:datastoreItem xmlns:ds="http://schemas.openxmlformats.org/officeDocument/2006/customXml" ds:itemID="{7379B192-6F6B-439F-AC42-4127C747DA16}">
  <ds:schemaRefs/>
</ds:datastoreItem>
</file>

<file path=customXml/itemProps14.xml><?xml version="1.0" encoding="utf-8"?>
<ds:datastoreItem xmlns:ds="http://schemas.openxmlformats.org/officeDocument/2006/customXml" ds:itemID="{338C45BD-AE62-497E-BFA8-65FD29C545FE}">
  <ds:schemaRefs/>
</ds:datastoreItem>
</file>

<file path=customXml/itemProps15.xml><?xml version="1.0" encoding="utf-8"?>
<ds:datastoreItem xmlns:ds="http://schemas.openxmlformats.org/officeDocument/2006/customXml" ds:itemID="{4BFF739A-E849-4953-80E4-14A3C9161CC9}">
  <ds:schemaRefs/>
</ds:datastoreItem>
</file>

<file path=customXml/itemProps16.xml><?xml version="1.0" encoding="utf-8"?>
<ds:datastoreItem xmlns:ds="http://schemas.openxmlformats.org/officeDocument/2006/customXml" ds:itemID="{56B8856A-35FE-4037-A8D9-382BDF1921D0}">
  <ds:schemaRefs/>
</ds:datastoreItem>
</file>

<file path=customXml/itemProps17.xml><?xml version="1.0" encoding="utf-8"?>
<ds:datastoreItem xmlns:ds="http://schemas.openxmlformats.org/officeDocument/2006/customXml" ds:itemID="{24FA87FF-9389-4A4E-9449-E812B3CCE97A}">
  <ds:schemaRefs/>
</ds:datastoreItem>
</file>

<file path=customXml/itemProps18.xml><?xml version="1.0" encoding="utf-8"?>
<ds:datastoreItem xmlns:ds="http://schemas.openxmlformats.org/officeDocument/2006/customXml" ds:itemID="{12616093-46C5-474D-A738-073111BF4FA9}">
  <ds:schemaRefs/>
</ds:datastoreItem>
</file>

<file path=customXml/itemProps19.xml><?xml version="1.0" encoding="utf-8"?>
<ds:datastoreItem xmlns:ds="http://schemas.openxmlformats.org/officeDocument/2006/customXml" ds:itemID="{B5333BFC-AF98-4495-8AAC-C46AA82D5869}">
  <ds:schemaRefs/>
</ds:datastoreItem>
</file>

<file path=customXml/itemProps20.xml><?xml version="1.0" encoding="utf-8"?>
<ds:datastoreItem xmlns:ds="http://schemas.openxmlformats.org/officeDocument/2006/customXml" ds:itemID="{CD9C81FE-E902-42D8-9557-8559277B823D}">
  <ds:schemaRefs/>
</ds:datastoreItem>
</file>

<file path=customXml/itemProps21.xml><?xml version="1.0" encoding="utf-8"?>
<ds:datastoreItem xmlns:ds="http://schemas.openxmlformats.org/officeDocument/2006/customXml" ds:itemID="{25614052-4D1D-4D52-8726-8F15F8B2A61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</vt:i4>
      </vt:variant>
    </vt:vector>
  </HeadingPairs>
  <TitlesOfParts>
    <vt:vector size="13" baseType="lpstr">
      <vt:lpstr>MB51</vt:lpstr>
      <vt:lpstr>PID</vt:lpstr>
      <vt:lpstr>Calculate</vt:lpstr>
      <vt:lpstr>Data Per Plant</vt:lpstr>
      <vt:lpstr>Data Per Regional</vt:lpstr>
      <vt:lpstr>Data Per Nasional</vt:lpstr>
      <vt:lpstr>Master Brand</vt:lpstr>
      <vt:lpstr>Master Location</vt:lpstr>
      <vt:lpstr>Master MB51</vt:lpstr>
      <vt:lpstr>Update Master Warehouse</vt:lpstr>
      <vt:lpstr>MasterWarehouse</vt:lpstr>
      <vt:lpstr>MasterWarehouse</vt:lpstr>
      <vt:lpstr>UpdateMasterWarehouse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wakanda_forever</dc:creator>
  <cp:lastModifiedBy>wakanda_forever</cp:lastModifiedBy>
  <dcterms:created xsi:type="dcterms:W3CDTF">2021-10-11T08:15:52Z</dcterms:created>
  <dcterms:modified xsi:type="dcterms:W3CDTF">2022-01-17T05:26:24Z</dcterms:modified>
</cp:coreProperties>
</file>